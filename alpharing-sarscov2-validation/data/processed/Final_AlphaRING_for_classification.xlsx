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el\Documents\Rstudio\Redefined Data\"/>
    </mc:Choice>
  </mc:AlternateContent>
  <xr:revisionPtr revIDLastSave="0" documentId="13_ncr:1_{EC1724E0-FD4D-41D2-841E-8F5374B1E3CE}" xr6:coauthVersionLast="47" xr6:coauthVersionMax="47" xr10:uidLastSave="{00000000-0000-0000-0000-000000000000}"/>
  <bookViews>
    <workbookView xWindow="-120" yWindow="-120" windowWidth="29040" windowHeight="15720" xr2:uid="{FDCCFCC9-A410-48C9-A08C-2A345EEAC44F}"/>
  </bookViews>
  <sheets>
    <sheet name="AlphaRING_with_annotations" sheetId="1" r:id="rId1"/>
    <sheet name="Fitness_estimates" sheetId="2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L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2" i="3"/>
</calcChain>
</file>

<file path=xl/sharedStrings.xml><?xml version="1.0" encoding="utf-8"?>
<sst xmlns="http://schemas.openxmlformats.org/spreadsheetml/2006/main" count="787" uniqueCount="266">
  <si>
    <t>Pos</t>
  </si>
  <si>
    <t>Substitution</t>
  </si>
  <si>
    <t>pLDDT</t>
  </si>
  <si>
    <t>Degree</t>
  </si>
  <si>
    <t>RSP</t>
  </si>
  <si>
    <t>label</t>
  </si>
  <si>
    <t>Probability</t>
  </si>
  <si>
    <t>MA1V</t>
  </si>
  <si>
    <t>M1V</t>
  </si>
  <si>
    <t>Deleterious</t>
  </si>
  <si>
    <t>TA22N</t>
  </si>
  <si>
    <t>T22N</t>
  </si>
  <si>
    <t>Neutral</t>
  </si>
  <si>
    <t>NA61H</t>
  </si>
  <si>
    <t>N61H</t>
  </si>
  <si>
    <t>Ambiguous</t>
  </si>
  <si>
    <t>SA94Y</t>
  </si>
  <si>
    <t>S94Y</t>
  </si>
  <si>
    <t>TA95I</t>
  </si>
  <si>
    <t>T95I</t>
  </si>
  <si>
    <t>KA147E</t>
  </si>
  <si>
    <t>K147E</t>
  </si>
  <si>
    <t>VA213G</t>
  </si>
  <si>
    <t>V213G</t>
  </si>
  <si>
    <t>VA213E</t>
  </si>
  <si>
    <t>V213E</t>
  </si>
  <si>
    <t>AA243V</t>
  </si>
  <si>
    <t>A243V</t>
  </si>
  <si>
    <t>RA319K</t>
  </si>
  <si>
    <t>R319K</t>
  </si>
  <si>
    <t>VA327D</t>
  </si>
  <si>
    <t>V327D</t>
  </si>
  <si>
    <t>RA328I</t>
  </si>
  <si>
    <t>R328I</t>
  </si>
  <si>
    <t>TA333R</t>
  </si>
  <si>
    <t>T333R</t>
  </si>
  <si>
    <t>FA342V</t>
  </si>
  <si>
    <t>F342V</t>
  </si>
  <si>
    <t>FA347L</t>
  </si>
  <si>
    <t>F347L</t>
  </si>
  <si>
    <t>IA358S</t>
  </si>
  <si>
    <t>I358S</t>
  </si>
  <si>
    <t>RA408S</t>
  </si>
  <si>
    <t>R408S</t>
  </si>
  <si>
    <t>GA446S</t>
  </si>
  <si>
    <t>G446S</t>
  </si>
  <si>
    <t>RA454G</t>
  </si>
  <si>
    <t>R454G</t>
  </si>
  <si>
    <t>RA457M</t>
  </si>
  <si>
    <t>R457M</t>
  </si>
  <si>
    <t>SA477N</t>
  </si>
  <si>
    <t>S477N</t>
  </si>
  <si>
    <t>GA485D</t>
  </si>
  <si>
    <t>G485D</t>
  </si>
  <si>
    <t>QA498L</t>
  </si>
  <si>
    <t>Q498L</t>
  </si>
  <si>
    <t>NA501Y</t>
  </si>
  <si>
    <t>N501Y</t>
  </si>
  <si>
    <t>TA553S</t>
  </si>
  <si>
    <t>T553S</t>
  </si>
  <si>
    <t>SA555F</t>
  </si>
  <si>
    <t>S555F</t>
  </si>
  <si>
    <t>AA570V</t>
  </si>
  <si>
    <t>A570V</t>
  </si>
  <si>
    <t>DA571V</t>
  </si>
  <si>
    <t>D571V</t>
  </si>
  <si>
    <t>SA605Y</t>
  </si>
  <si>
    <t>S605Y</t>
  </si>
  <si>
    <t>QA613H</t>
  </si>
  <si>
    <t>Q613H</t>
  </si>
  <si>
    <t>DA614G</t>
  </si>
  <si>
    <t>D614G</t>
  </si>
  <si>
    <t>PA621S</t>
  </si>
  <si>
    <t>P621S</t>
  </si>
  <si>
    <t>HA655Y</t>
  </si>
  <si>
    <t>H655Y</t>
  </si>
  <si>
    <t>PA665L</t>
  </si>
  <si>
    <t>P665L</t>
  </si>
  <si>
    <t>TA678I</t>
  </si>
  <si>
    <t>T678I</t>
  </si>
  <si>
    <t>NA679K</t>
  </si>
  <si>
    <t>N679K</t>
  </si>
  <si>
    <t>PA681H</t>
  </si>
  <si>
    <t>P681H</t>
  </si>
  <si>
    <t>PA681R</t>
  </si>
  <si>
    <t>P681R</t>
  </si>
  <si>
    <t>QA690K</t>
  </si>
  <si>
    <t>Q690K</t>
  </si>
  <si>
    <t>GA700V</t>
  </si>
  <si>
    <t>G700V</t>
  </si>
  <si>
    <t>AA701V</t>
  </si>
  <si>
    <t>A701V</t>
  </si>
  <si>
    <t>SA704L</t>
  </si>
  <si>
    <t>S704L</t>
  </si>
  <si>
    <t>NA710I</t>
  </si>
  <si>
    <t>N710I</t>
  </si>
  <si>
    <t>KA795R</t>
  </si>
  <si>
    <t>K795R</t>
  </si>
  <si>
    <t>GA832S</t>
  </si>
  <si>
    <t>G832S</t>
  </si>
  <si>
    <t>IA834L</t>
  </si>
  <si>
    <t>I834L</t>
  </si>
  <si>
    <t>KA835N</t>
  </si>
  <si>
    <t>K835N</t>
  </si>
  <si>
    <t>IA844M</t>
  </si>
  <si>
    <t>I844M</t>
  </si>
  <si>
    <t>AA845S</t>
  </si>
  <si>
    <t>A845S</t>
  </si>
  <si>
    <t>LA849H</t>
  </si>
  <si>
    <t>L849H</t>
  </si>
  <si>
    <t>LA858F</t>
  </si>
  <si>
    <t>L858F</t>
  </si>
  <si>
    <t>LA878S</t>
  </si>
  <si>
    <t>L878S</t>
  </si>
  <si>
    <t>GA880D</t>
  </si>
  <si>
    <t>G880D</t>
  </si>
  <si>
    <t>GA889V</t>
  </si>
  <si>
    <t>G889V</t>
  </si>
  <si>
    <t>GA891S</t>
  </si>
  <si>
    <t>G891S</t>
  </si>
  <si>
    <t>PA897Q</t>
  </si>
  <si>
    <t>P897Q</t>
  </si>
  <si>
    <t>FA898Y</t>
  </si>
  <si>
    <t>F898Y</t>
  </si>
  <si>
    <t>MA900I</t>
  </si>
  <si>
    <t>M900I</t>
  </si>
  <si>
    <t>MA902I</t>
  </si>
  <si>
    <t>M902I</t>
  </si>
  <si>
    <t>AA903S</t>
  </si>
  <si>
    <t>A903S</t>
  </si>
  <si>
    <t>YA904D</t>
  </si>
  <si>
    <t>Y904D</t>
  </si>
  <si>
    <t>FA906Y</t>
  </si>
  <si>
    <t>F906Y</t>
  </si>
  <si>
    <t>NA928S</t>
  </si>
  <si>
    <t>N928S</t>
  </si>
  <si>
    <t>AA930D</t>
  </si>
  <si>
    <t>A930D</t>
  </si>
  <si>
    <t>KA933R</t>
  </si>
  <si>
    <t>K933R</t>
  </si>
  <si>
    <t>SA937T</t>
  </si>
  <si>
    <t>S937T</t>
  </si>
  <si>
    <t>GA946E</t>
  </si>
  <si>
    <t>G946E</t>
  </si>
  <si>
    <t>QA949H</t>
  </si>
  <si>
    <t>Q949H</t>
  </si>
  <si>
    <t>VA951E</t>
  </si>
  <si>
    <t>V951E</t>
  </si>
  <si>
    <t>VA952I</t>
  </si>
  <si>
    <t>V952I</t>
  </si>
  <si>
    <t>NA953I</t>
  </si>
  <si>
    <t>N953I</t>
  </si>
  <si>
    <t>QA954H</t>
  </si>
  <si>
    <t>Q954H</t>
  </si>
  <si>
    <t>NA955K</t>
  </si>
  <si>
    <t>N955K</t>
  </si>
  <si>
    <t>AA956G</t>
  </si>
  <si>
    <t>A956G</t>
  </si>
  <si>
    <t>AA958G</t>
  </si>
  <si>
    <t>A958G</t>
  </si>
  <si>
    <t>LA959V</t>
  </si>
  <si>
    <t>L959V</t>
  </si>
  <si>
    <t>NA960S</t>
  </si>
  <si>
    <t>N960S</t>
  </si>
  <si>
    <t>NA969K</t>
  </si>
  <si>
    <t>N969K</t>
  </si>
  <si>
    <t>GA971V</t>
  </si>
  <si>
    <t>G971V</t>
  </si>
  <si>
    <t>DA985E</t>
  </si>
  <si>
    <t>D985E</t>
  </si>
  <si>
    <t>RA1000I</t>
  </si>
  <si>
    <t>R1000I</t>
  </si>
  <si>
    <t>QA1005P</t>
  </si>
  <si>
    <t>Q1005P</t>
  </si>
  <si>
    <t>RA1019S</t>
  </si>
  <si>
    <t>R1019S</t>
  </si>
  <si>
    <t>SA1021F</t>
  </si>
  <si>
    <t>S1021F</t>
  </si>
  <si>
    <t>SA1030T</t>
  </si>
  <si>
    <t>S1030T</t>
  </si>
  <si>
    <t>FA1042L</t>
  </si>
  <si>
    <t>F1042L</t>
  </si>
  <si>
    <t>GA1044E</t>
  </si>
  <si>
    <t>G1044E</t>
  </si>
  <si>
    <t>PA1057H</t>
  </si>
  <si>
    <t>P1057H</t>
  </si>
  <si>
    <t>VA1068G</t>
  </si>
  <si>
    <t>V1068G</t>
  </si>
  <si>
    <t>TA1077I</t>
  </si>
  <si>
    <t>T1077I</t>
  </si>
  <si>
    <t>AA1080P</t>
  </si>
  <si>
    <t>A1080P</t>
  </si>
  <si>
    <t>PA1090L</t>
  </si>
  <si>
    <t>P1090L</t>
  </si>
  <si>
    <t>TA1100R</t>
  </si>
  <si>
    <t>T1100R</t>
  </si>
  <si>
    <t>WA1102C</t>
  </si>
  <si>
    <t>W1102C</t>
  </si>
  <si>
    <t>FA1103L</t>
  </si>
  <si>
    <t>F1103L</t>
  </si>
  <si>
    <t>VA1104E</t>
  </si>
  <si>
    <t>V1104E</t>
  </si>
  <si>
    <t>TA1105R</t>
  </si>
  <si>
    <t>T1105R</t>
  </si>
  <si>
    <t>QA1142L</t>
  </si>
  <si>
    <t>Q1142L</t>
  </si>
  <si>
    <t>PA1143L</t>
  </si>
  <si>
    <t>P1143L</t>
  </si>
  <si>
    <t>SA1161A</t>
  </si>
  <si>
    <t>S1161A</t>
  </si>
  <si>
    <t>LA1200P</t>
  </si>
  <si>
    <t>L1200P</t>
  </si>
  <si>
    <t>IA1227R</t>
  </si>
  <si>
    <t>I1227R</t>
  </si>
  <si>
    <t>DDG</t>
  </si>
  <si>
    <t>aa_mutation</t>
  </si>
  <si>
    <t>delta_fitness</t>
  </si>
  <si>
    <t>V11D</t>
  </si>
  <si>
    <t>N17M</t>
  </si>
  <si>
    <t>NA</t>
  </si>
  <si>
    <t>L24T</t>
  </si>
  <si>
    <t>A27S</t>
  </si>
  <si>
    <t>S50L</t>
  </si>
  <si>
    <t>L84I</t>
  </si>
  <si>
    <t>V127F</t>
  </si>
  <si>
    <t>M153T</t>
  </si>
  <si>
    <t>R158G</t>
  </si>
  <si>
    <t>L212I</t>
  </si>
  <si>
    <t>L216F</t>
  </si>
  <si>
    <t>H245N</t>
  </si>
  <si>
    <t>A264D</t>
  </si>
  <si>
    <t>T307I</t>
  </si>
  <si>
    <t>I332V</t>
  </si>
  <si>
    <t>K356T</t>
  </si>
  <si>
    <t>S371F</t>
  </si>
  <si>
    <t>S373P</t>
  </si>
  <si>
    <t>S375F</t>
  </si>
  <si>
    <t>T376A</t>
  </si>
  <si>
    <t>R403K</t>
  </si>
  <si>
    <t>N440K</t>
  </si>
  <si>
    <t>N450D</t>
  </si>
  <si>
    <t>N460K</t>
  </si>
  <si>
    <t>N481K</t>
  </si>
  <si>
    <t>S494P</t>
  </si>
  <si>
    <t>Y505H</t>
  </si>
  <si>
    <t>A522V</t>
  </si>
  <si>
    <t>E554K</t>
  </si>
  <si>
    <t>D574V</t>
  </si>
  <si>
    <t>N764K</t>
  </si>
  <si>
    <t>T791A</t>
  </si>
  <si>
    <t>D936H</t>
  </si>
  <si>
    <t>S939F</t>
  </si>
  <si>
    <t>L948I</t>
  </si>
  <si>
    <t>S982A</t>
  </si>
  <si>
    <t>T1027I</t>
  </si>
  <si>
    <t>D1041E</t>
  </si>
  <si>
    <t>H1083Q</t>
  </si>
  <si>
    <t>H1101Y</t>
  </si>
  <si>
    <t>K1269R</t>
  </si>
  <si>
    <t>pLDDT_SHAP</t>
  </si>
  <si>
    <t>Degree_SHAP</t>
  </si>
  <si>
    <t>DDG_SHAP</t>
  </si>
  <si>
    <t>RSP_SHAP</t>
  </si>
  <si>
    <t>Simplified</t>
  </si>
  <si>
    <t>true_class</t>
  </si>
  <si>
    <t>DDG Stable/Unstable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</si>
</sst>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4697-4E5D-4B10-A72A-A5B46B6A64A2}">
  <dimension ref="A1:P103"/>
  <sheetViews>
    <sheetView tabSelected="1" workbookViewId="0">
      <selection sqref="A1:N4"/>
    </sheetView>
  </sheetViews>
  <sheetFormatPr defaultRowHeight="15" x14ac:dyDescent="0.25"/>
  <cols>
    <col min="10" max="13" width="12.7109375" bestFit="1" customWidth="1"/>
    <col min="15" max="15" width="19.5703125" bestFit="1" customWidth="1"/>
  </cols>
  <sheetData>
    <row r="1" spans="1:16" x14ac:dyDescent="0.25">
      <c r="A1" t="s">
        <v>0</v>
      </c>
      <c r="B1" t="s">
        <v>1</v>
      </c>
      <c r="C1" t="s">
        <v>263</v>
      </c>
      <c r="D1" t="s">
        <v>2</v>
      </c>
      <c r="E1" t="s">
        <v>3</v>
      </c>
      <c r="F1" t="s">
        <v>214</v>
      </c>
      <c r="G1" t="s">
        <v>4</v>
      </c>
      <c r="H1" t="s">
        <v>5</v>
      </c>
      <c r="I1" t="s">
        <v>6</v>
      </c>
      <c r="J1" t="s">
        <v>259</v>
      </c>
      <c r="K1" t="s">
        <v>260</v>
      </c>
      <c r="L1" t="s">
        <v>261</v>
      </c>
      <c r="M1" t="s">
        <v>262</v>
      </c>
      <c r="N1" t="s">
        <v>264</v>
      </c>
      <c r="O1" t="s">
        <v>265</v>
      </c>
      <c r="P1" t="s">
        <v>214</v>
      </c>
    </row>
    <row r="2" spans="1:16" x14ac:dyDescent="0.25">
      <c r="A2">
        <v>1</v>
      </c>
      <c r="B2" t="s">
        <v>7</v>
      </c>
      <c r="C2" t="s">
        <v>8</v>
      </c>
      <c r="D2">
        <v>34.159999999999997</v>
      </c>
      <c r="E2">
        <v>0</v>
      </c>
      <c r="F2">
        <v>0.104088</v>
      </c>
      <c r="G2">
        <v>7.8554600000000003E-4</v>
      </c>
      <c r="H2" t="s">
        <v>9</v>
      </c>
      <c r="I2">
        <v>0.38655689399999998</v>
      </c>
      <c r="J2">
        <v>-0.32258501499999997</v>
      </c>
      <c r="K2">
        <v>-0.115975192</v>
      </c>
      <c r="L2">
        <v>-2.1774055E-2</v>
      </c>
      <c r="M2">
        <v>0.25742184699999998</v>
      </c>
      <c r="N2">
        <v>0</v>
      </c>
      <c r="O2" t="str">
        <f>IF(F2&gt;0,"Unstable","Stable")</f>
        <v>Unstable</v>
      </c>
      <c r="P2" t="str">
        <f>IF(G2&gt;0,"Stable","Unstable")</f>
        <v>Stable</v>
      </c>
    </row>
    <row r="3" spans="1:16" x14ac:dyDescent="0.25">
      <c r="A3">
        <v>22</v>
      </c>
      <c r="B3" t="s">
        <v>10</v>
      </c>
      <c r="C3" t="s">
        <v>11</v>
      </c>
      <c r="D3">
        <v>54.23</v>
      </c>
      <c r="E3">
        <v>0</v>
      </c>
      <c r="F3">
        <v>-0.25090000000000001</v>
      </c>
      <c r="G3">
        <v>1.7282011E-2</v>
      </c>
      <c r="H3" t="s">
        <v>12</v>
      </c>
      <c r="I3">
        <v>0.12724651400000001</v>
      </c>
      <c r="J3">
        <v>-0.131806963</v>
      </c>
      <c r="K3">
        <v>-0.19289962599999999</v>
      </c>
      <c r="L3">
        <v>-0.14828820600000001</v>
      </c>
      <c r="M3">
        <v>1.0772001E-2</v>
      </c>
      <c r="N3">
        <v>1</v>
      </c>
      <c r="O3" t="str">
        <f t="shared" ref="O3:O66" si="0">IF(F3&gt;0,"Unstable","Stable")</f>
        <v>Stable</v>
      </c>
      <c r="P3" t="str">
        <f t="shared" ref="P3:P66" si="1">IF(G3&gt;0,"Stable","Unstable")</f>
        <v>Stable</v>
      </c>
    </row>
    <row r="4" spans="1:16" x14ac:dyDescent="0.25">
      <c r="A4">
        <v>61</v>
      </c>
      <c r="B4" t="s">
        <v>13</v>
      </c>
      <c r="C4" t="s">
        <v>14</v>
      </c>
      <c r="D4">
        <v>88.15</v>
      </c>
      <c r="E4">
        <v>2</v>
      </c>
      <c r="F4">
        <v>-0.25300899999999998</v>
      </c>
      <c r="G4">
        <v>4.7918303000000002E-2</v>
      </c>
      <c r="H4" t="s">
        <v>15</v>
      </c>
      <c r="I4">
        <v>0.24918168800000001</v>
      </c>
      <c r="J4">
        <v>-4.0279161000000001E-2</v>
      </c>
      <c r="K4">
        <v>-0.122956518</v>
      </c>
      <c r="L4">
        <v>-0.217611897</v>
      </c>
      <c r="M4">
        <v>4.0559955000000002E-2</v>
      </c>
      <c r="N4">
        <v>0</v>
      </c>
      <c r="O4" t="str">
        <f t="shared" si="0"/>
        <v>Stable</v>
      </c>
      <c r="P4" t="str">
        <f t="shared" si="1"/>
        <v>Stable</v>
      </c>
    </row>
    <row r="5" spans="1:16" x14ac:dyDescent="0.25">
      <c r="A5">
        <v>94</v>
      </c>
      <c r="B5" t="s">
        <v>16</v>
      </c>
      <c r="C5" t="s">
        <v>17</v>
      </c>
      <c r="D5">
        <v>90.93</v>
      </c>
      <c r="E5">
        <v>8</v>
      </c>
      <c r="F5">
        <v>9.2244700000000002</v>
      </c>
      <c r="G5">
        <v>7.3841320000000002E-2</v>
      </c>
      <c r="H5" t="s">
        <v>9</v>
      </c>
      <c r="I5">
        <v>0.90267550900000004</v>
      </c>
      <c r="J5">
        <v>5.1415961000000003E-2</v>
      </c>
      <c r="K5">
        <v>7.0162927999999999E-2</v>
      </c>
      <c r="L5">
        <v>0.166915811</v>
      </c>
      <c r="M5">
        <v>2.4711501E-2</v>
      </c>
      <c r="N5">
        <v>0</v>
      </c>
      <c r="O5" t="str">
        <f t="shared" si="0"/>
        <v>Unstable</v>
      </c>
      <c r="P5" t="str">
        <f t="shared" si="1"/>
        <v>Stable</v>
      </c>
    </row>
    <row r="6" spans="1:16" x14ac:dyDescent="0.25">
      <c r="A6">
        <v>95</v>
      </c>
      <c r="B6" t="s">
        <v>18</v>
      </c>
      <c r="C6" t="s">
        <v>19</v>
      </c>
      <c r="D6">
        <v>89.31</v>
      </c>
      <c r="E6">
        <v>11</v>
      </c>
      <c r="F6">
        <v>-1.1593600000000001E-2</v>
      </c>
      <c r="G6">
        <v>7.4626865671641701E-2</v>
      </c>
      <c r="H6" t="s">
        <v>9</v>
      </c>
      <c r="I6">
        <v>0.434499680995941</v>
      </c>
      <c r="J6">
        <v>-6.8783953258146902E-2</v>
      </c>
      <c r="K6">
        <v>7.8381524917979905E-3</v>
      </c>
      <c r="L6">
        <v>-0.148897565621882</v>
      </c>
      <c r="M6">
        <v>5.4873738903552197E-2</v>
      </c>
      <c r="N6">
        <v>1</v>
      </c>
      <c r="O6" t="str">
        <f t="shared" si="0"/>
        <v>Stable</v>
      </c>
      <c r="P6" t="str">
        <f t="shared" si="1"/>
        <v>Stable</v>
      </c>
    </row>
    <row r="7" spans="1:16" x14ac:dyDescent="0.25">
      <c r="A7">
        <v>147</v>
      </c>
      <c r="B7" t="s">
        <v>20</v>
      </c>
      <c r="C7" t="s">
        <v>21</v>
      </c>
      <c r="D7">
        <v>68.790000000000006</v>
      </c>
      <c r="E7">
        <v>3</v>
      </c>
      <c r="F7">
        <v>-0.35045999999999999</v>
      </c>
      <c r="G7">
        <v>0.11547525530243501</v>
      </c>
      <c r="H7" t="s">
        <v>12</v>
      </c>
      <c r="I7">
        <v>0.185606569051742</v>
      </c>
      <c r="J7">
        <v>-4.76187007625897E-2</v>
      </c>
      <c r="K7">
        <v>-0.13000599576781099</v>
      </c>
      <c r="L7">
        <v>-0.21871877829233799</v>
      </c>
      <c r="M7">
        <v>-7.5192646061380602E-3</v>
      </c>
      <c r="N7">
        <v>1</v>
      </c>
      <c r="O7" t="str">
        <f t="shared" si="0"/>
        <v>Stable</v>
      </c>
      <c r="P7" t="str">
        <f t="shared" si="1"/>
        <v>Stable</v>
      </c>
    </row>
    <row r="8" spans="1:16" x14ac:dyDescent="0.25">
      <c r="A8">
        <v>213</v>
      </c>
      <c r="B8" t="s">
        <v>22</v>
      </c>
      <c r="C8" t="s">
        <v>23</v>
      </c>
      <c r="D8">
        <v>75.709999999999994</v>
      </c>
      <c r="E8">
        <v>0</v>
      </c>
      <c r="F8">
        <v>-0.102344</v>
      </c>
      <c r="G8">
        <v>0.16732128800000001</v>
      </c>
      <c r="H8" t="s">
        <v>12</v>
      </c>
      <c r="I8">
        <v>0.15513634700000001</v>
      </c>
      <c r="J8">
        <v>-6.2587831999999996E-2</v>
      </c>
      <c r="K8">
        <v>-0.20597126800000001</v>
      </c>
      <c r="L8">
        <v>-0.13730537000000001</v>
      </c>
      <c r="M8">
        <v>-2.8468492000000001E-2</v>
      </c>
      <c r="N8">
        <v>1</v>
      </c>
      <c r="O8" t="str">
        <f t="shared" si="0"/>
        <v>Stable</v>
      </c>
      <c r="P8" t="str">
        <f t="shared" si="1"/>
        <v>Stable</v>
      </c>
    </row>
    <row r="9" spans="1:16" x14ac:dyDescent="0.25">
      <c r="A9">
        <v>213</v>
      </c>
      <c r="B9" t="s">
        <v>24</v>
      </c>
      <c r="C9" t="s">
        <v>25</v>
      </c>
      <c r="D9">
        <v>75.709999999999994</v>
      </c>
      <c r="E9">
        <v>0</v>
      </c>
      <c r="F9">
        <v>-0.45860699999999999</v>
      </c>
      <c r="G9">
        <v>0.16732128829536499</v>
      </c>
      <c r="H9" t="s">
        <v>12</v>
      </c>
      <c r="I9">
        <v>0.175326868891716</v>
      </c>
      <c r="J9">
        <v>-5.3589777573943002E-2</v>
      </c>
      <c r="K9">
        <v>-0.215490184562901</v>
      </c>
      <c r="L9">
        <v>-0.12720938533544501</v>
      </c>
      <c r="M9">
        <v>-1.7853092116614198E-2</v>
      </c>
      <c r="N9">
        <v>1</v>
      </c>
      <c r="O9" t="str">
        <f t="shared" si="0"/>
        <v>Stable</v>
      </c>
      <c r="P9" t="str">
        <f t="shared" si="1"/>
        <v>Stable</v>
      </c>
    </row>
    <row r="10" spans="1:16" x14ac:dyDescent="0.25">
      <c r="A10">
        <v>243</v>
      </c>
      <c r="B10" t="s">
        <v>26</v>
      </c>
      <c r="C10" t="s">
        <v>27</v>
      </c>
      <c r="D10">
        <v>84.55</v>
      </c>
      <c r="E10">
        <v>8</v>
      </c>
      <c r="F10">
        <v>4.0290699999999999</v>
      </c>
      <c r="G10">
        <v>0.19088766700000001</v>
      </c>
      <c r="H10" t="s">
        <v>9</v>
      </c>
      <c r="I10">
        <v>0.827328324</v>
      </c>
      <c r="J10">
        <v>1.6081400999999999E-2</v>
      </c>
      <c r="K10">
        <v>9.9318267000000002E-2</v>
      </c>
      <c r="L10">
        <v>0.11740123299999999</v>
      </c>
      <c r="M10">
        <v>5.0581150000000002E-3</v>
      </c>
      <c r="N10">
        <v>0</v>
      </c>
      <c r="O10" t="str">
        <f t="shared" si="0"/>
        <v>Unstable</v>
      </c>
      <c r="P10" t="str">
        <f t="shared" si="1"/>
        <v>Stable</v>
      </c>
    </row>
    <row r="11" spans="1:16" x14ac:dyDescent="0.25">
      <c r="A11">
        <v>319</v>
      </c>
      <c r="B11" t="s">
        <v>28</v>
      </c>
      <c r="C11" t="s">
        <v>29</v>
      </c>
      <c r="D11">
        <v>81.69</v>
      </c>
      <c r="E11">
        <v>4</v>
      </c>
      <c r="F11">
        <v>0.76836000000000004</v>
      </c>
      <c r="G11">
        <v>0.25058915900000001</v>
      </c>
      <c r="H11" t="s">
        <v>15</v>
      </c>
      <c r="I11">
        <v>0.239033625</v>
      </c>
      <c r="J11">
        <v>1.68045E-3</v>
      </c>
      <c r="K11">
        <v>-0.16508074</v>
      </c>
      <c r="L11">
        <v>-0.174658221</v>
      </c>
      <c r="M11">
        <v>-1.2377173E-2</v>
      </c>
      <c r="N11">
        <v>0</v>
      </c>
      <c r="O11" t="str">
        <f t="shared" si="0"/>
        <v>Unstable</v>
      </c>
      <c r="P11" t="str">
        <f t="shared" si="1"/>
        <v>Stable</v>
      </c>
    </row>
    <row r="12" spans="1:16" x14ac:dyDescent="0.25">
      <c r="A12">
        <v>327</v>
      </c>
      <c r="B12" t="s">
        <v>30</v>
      </c>
      <c r="C12" t="s">
        <v>31</v>
      </c>
      <c r="D12">
        <v>85.03</v>
      </c>
      <c r="E12">
        <v>7</v>
      </c>
      <c r="F12">
        <v>-0.66124400000000005</v>
      </c>
      <c r="G12">
        <v>0.25687352699999999</v>
      </c>
      <c r="H12" t="s">
        <v>9</v>
      </c>
      <c r="I12">
        <v>0.45070305500000002</v>
      </c>
      <c r="J12">
        <v>-2.8497778000000001E-2</v>
      </c>
      <c r="K12">
        <v>-3.7722765999999998E-2</v>
      </c>
      <c r="L12">
        <v>-0.121226667</v>
      </c>
      <c r="M12">
        <v>4.8680956999999997E-2</v>
      </c>
      <c r="N12">
        <v>0</v>
      </c>
      <c r="O12" t="str">
        <f t="shared" si="0"/>
        <v>Stable</v>
      </c>
      <c r="P12" t="str">
        <f t="shared" si="1"/>
        <v>Stable</v>
      </c>
    </row>
    <row r="13" spans="1:16" x14ac:dyDescent="0.25">
      <c r="A13">
        <v>328</v>
      </c>
      <c r="B13" t="s">
        <v>32</v>
      </c>
      <c r="C13" t="s">
        <v>33</v>
      </c>
      <c r="D13">
        <v>83.94</v>
      </c>
      <c r="E13">
        <v>17</v>
      </c>
      <c r="F13">
        <v>3.8547899999999999</v>
      </c>
      <c r="G13">
        <v>0.25765907300000002</v>
      </c>
      <c r="H13" t="s">
        <v>9</v>
      </c>
      <c r="I13">
        <v>0.87077069299999998</v>
      </c>
      <c r="J13">
        <v>3.0475436000000002E-2</v>
      </c>
      <c r="K13">
        <v>0.16133563400000001</v>
      </c>
      <c r="L13">
        <v>8.7159239999999999E-2</v>
      </c>
      <c r="M13">
        <v>2.3310739999999998E-3</v>
      </c>
      <c r="N13">
        <v>0</v>
      </c>
      <c r="O13" t="str">
        <f t="shared" si="0"/>
        <v>Unstable</v>
      </c>
      <c r="P13" t="str">
        <f t="shared" si="1"/>
        <v>Stable</v>
      </c>
    </row>
    <row r="14" spans="1:16" x14ac:dyDescent="0.25">
      <c r="A14">
        <v>333</v>
      </c>
      <c r="B14" t="s">
        <v>34</v>
      </c>
      <c r="C14" t="s">
        <v>35</v>
      </c>
      <c r="D14">
        <v>69.23</v>
      </c>
      <c r="E14">
        <v>0</v>
      </c>
      <c r="F14">
        <v>-0.13994400000000001</v>
      </c>
      <c r="G14">
        <v>0.26158680299999998</v>
      </c>
      <c r="H14" t="s">
        <v>12</v>
      </c>
      <c r="I14">
        <v>0.211336002</v>
      </c>
      <c r="J14">
        <v>-3.3011721000000001E-2</v>
      </c>
      <c r="K14">
        <v>-0.22541417599999999</v>
      </c>
      <c r="L14">
        <v>-0.13272144899999999</v>
      </c>
      <c r="M14">
        <v>1.3014039E-2</v>
      </c>
      <c r="N14">
        <v>0</v>
      </c>
      <c r="O14" t="str">
        <f t="shared" si="0"/>
        <v>Stable</v>
      </c>
      <c r="P14" t="str">
        <f t="shared" si="1"/>
        <v>Stable</v>
      </c>
    </row>
    <row r="15" spans="1:16" x14ac:dyDescent="0.25">
      <c r="A15">
        <v>342</v>
      </c>
      <c r="B15" t="s">
        <v>36</v>
      </c>
      <c r="C15" t="s">
        <v>37</v>
      </c>
      <c r="D15">
        <v>83.9</v>
      </c>
      <c r="E15">
        <v>18</v>
      </c>
      <c r="F15">
        <v>3.6302300000000001</v>
      </c>
      <c r="G15">
        <v>0.26865671600000002</v>
      </c>
      <c r="H15" t="s">
        <v>9</v>
      </c>
      <c r="I15">
        <v>0.85913509099999996</v>
      </c>
      <c r="J15">
        <v>3.11986E-2</v>
      </c>
      <c r="K15">
        <v>0.17654581799999999</v>
      </c>
      <c r="L15">
        <v>6.0754603999999997E-2</v>
      </c>
      <c r="M15">
        <v>1.16676E-3</v>
      </c>
      <c r="N15">
        <v>0</v>
      </c>
      <c r="O15" t="str">
        <f t="shared" si="0"/>
        <v>Unstable</v>
      </c>
      <c r="P15" t="str">
        <f t="shared" si="1"/>
        <v>Stable</v>
      </c>
    </row>
    <row r="16" spans="1:16" x14ac:dyDescent="0.25">
      <c r="A16">
        <v>347</v>
      </c>
      <c r="B16" t="s">
        <v>38</v>
      </c>
      <c r="C16" t="s">
        <v>39</v>
      </c>
      <c r="D16">
        <v>89.13</v>
      </c>
      <c r="E16">
        <v>17</v>
      </c>
      <c r="F16">
        <v>2.6116799999999999E-2</v>
      </c>
      <c r="G16">
        <v>0.27258444599999998</v>
      </c>
      <c r="H16" t="s">
        <v>9</v>
      </c>
      <c r="I16">
        <v>0.64331322899999999</v>
      </c>
      <c r="J16">
        <v>-7.7198777999999996E-2</v>
      </c>
      <c r="K16">
        <v>0.194071569</v>
      </c>
      <c r="L16">
        <v>-6.4422737999999993E-2</v>
      </c>
      <c r="M16">
        <v>1.393867E-3</v>
      </c>
      <c r="N16">
        <v>0</v>
      </c>
      <c r="O16" t="str">
        <f t="shared" si="0"/>
        <v>Unstable</v>
      </c>
      <c r="P16" t="str">
        <f t="shared" si="1"/>
        <v>Stable</v>
      </c>
    </row>
    <row r="17" spans="1:16" x14ac:dyDescent="0.25">
      <c r="A17">
        <v>358</v>
      </c>
      <c r="B17" t="s">
        <v>40</v>
      </c>
      <c r="C17" t="s">
        <v>41</v>
      </c>
      <c r="D17">
        <v>88.95</v>
      </c>
      <c r="E17">
        <v>6</v>
      </c>
      <c r="F17">
        <v>5.0478800000000001</v>
      </c>
      <c r="G17">
        <v>0.28122545199999999</v>
      </c>
      <c r="H17" t="s">
        <v>9</v>
      </c>
      <c r="I17">
        <v>0.83794081200000003</v>
      </c>
      <c r="J17">
        <v>-1.167375E-2</v>
      </c>
      <c r="K17">
        <v>1.9400532000000002E-2</v>
      </c>
      <c r="L17">
        <v>0.23308352500000001</v>
      </c>
      <c r="M17">
        <v>7.6611969999999998E-3</v>
      </c>
      <c r="N17">
        <v>0</v>
      </c>
      <c r="O17" t="str">
        <f t="shared" si="0"/>
        <v>Unstable</v>
      </c>
      <c r="P17" t="str">
        <f t="shared" si="1"/>
        <v>Stable</v>
      </c>
    </row>
    <row r="18" spans="1:16" x14ac:dyDescent="0.25">
      <c r="A18">
        <v>408</v>
      </c>
      <c r="B18" t="s">
        <v>42</v>
      </c>
      <c r="C18" t="s">
        <v>43</v>
      </c>
      <c r="D18">
        <v>89.2</v>
      </c>
      <c r="E18">
        <v>1</v>
      </c>
      <c r="F18">
        <v>0.86676900000000001</v>
      </c>
      <c r="G18">
        <v>0.32050274899999998</v>
      </c>
      <c r="H18" t="s">
        <v>15</v>
      </c>
      <c r="I18">
        <v>0.24432642800000001</v>
      </c>
      <c r="J18">
        <v>-7.9186414999999996E-2</v>
      </c>
      <c r="K18">
        <v>-0.149813364</v>
      </c>
      <c r="L18">
        <v>-0.191582321</v>
      </c>
      <c r="M18">
        <v>7.5439219000000002E-2</v>
      </c>
      <c r="N18">
        <v>1</v>
      </c>
      <c r="O18" t="str">
        <f t="shared" si="0"/>
        <v>Unstable</v>
      </c>
      <c r="P18" t="str">
        <f t="shared" si="1"/>
        <v>Stable</v>
      </c>
    </row>
    <row r="19" spans="1:16" x14ac:dyDescent="0.25">
      <c r="A19">
        <v>446</v>
      </c>
      <c r="B19" t="s">
        <v>44</v>
      </c>
      <c r="C19" t="s">
        <v>45</v>
      </c>
      <c r="D19">
        <v>56.47</v>
      </c>
      <c r="E19">
        <v>0</v>
      </c>
      <c r="F19">
        <v>0.123943</v>
      </c>
      <c r="G19">
        <v>0.35035349599999999</v>
      </c>
      <c r="H19" t="s">
        <v>9</v>
      </c>
      <c r="I19">
        <v>0.350316882</v>
      </c>
      <c r="J19">
        <v>-8.7570822000000006E-2</v>
      </c>
      <c r="K19">
        <v>-0.207078859</v>
      </c>
      <c r="L19">
        <v>-5.9014171999999997E-2</v>
      </c>
      <c r="M19">
        <v>0.114511427</v>
      </c>
      <c r="N19">
        <v>1</v>
      </c>
      <c r="O19" t="str">
        <f t="shared" si="0"/>
        <v>Unstable</v>
      </c>
      <c r="P19" t="str">
        <f t="shared" si="1"/>
        <v>Stable</v>
      </c>
    </row>
    <row r="20" spans="1:16" x14ac:dyDescent="0.25">
      <c r="A20">
        <v>454</v>
      </c>
      <c r="B20" t="s">
        <v>46</v>
      </c>
      <c r="C20" t="s">
        <v>47</v>
      </c>
      <c r="D20">
        <v>91.94</v>
      </c>
      <c r="E20">
        <v>24</v>
      </c>
      <c r="F20">
        <v>4.7550400000000002</v>
      </c>
      <c r="G20">
        <v>0.356637863</v>
      </c>
      <c r="H20" t="s">
        <v>9</v>
      </c>
      <c r="I20">
        <v>0.90893238799999998</v>
      </c>
      <c r="J20">
        <v>3.3412101999999999E-2</v>
      </c>
      <c r="K20">
        <v>0.12700433799999999</v>
      </c>
      <c r="L20">
        <v>0.115945179</v>
      </c>
      <c r="M20">
        <v>4.3101460000000001E-2</v>
      </c>
      <c r="N20">
        <v>0</v>
      </c>
      <c r="O20" t="str">
        <f t="shared" si="0"/>
        <v>Unstable</v>
      </c>
      <c r="P20" t="str">
        <f t="shared" si="1"/>
        <v>Stable</v>
      </c>
    </row>
    <row r="21" spans="1:16" x14ac:dyDescent="0.25">
      <c r="A21">
        <v>457</v>
      </c>
      <c r="B21" t="s">
        <v>48</v>
      </c>
      <c r="C21" t="s">
        <v>49</v>
      </c>
      <c r="D21">
        <v>84.31</v>
      </c>
      <c r="E21">
        <v>20</v>
      </c>
      <c r="F21">
        <v>1.6441399999999999</v>
      </c>
      <c r="G21">
        <v>0.35899450100000002</v>
      </c>
      <c r="H21" t="s">
        <v>9</v>
      </c>
      <c r="I21">
        <v>0.88046175199999999</v>
      </c>
      <c r="J21">
        <v>3.0506137999999999E-2</v>
      </c>
      <c r="K21">
        <v>0.167979622</v>
      </c>
      <c r="L21">
        <v>1.392786E-2</v>
      </c>
      <c r="M21">
        <v>7.8578825000000005E-2</v>
      </c>
      <c r="N21">
        <v>0</v>
      </c>
      <c r="O21" t="str">
        <f t="shared" si="0"/>
        <v>Unstable</v>
      </c>
      <c r="P21" t="str">
        <f t="shared" si="1"/>
        <v>Stable</v>
      </c>
    </row>
    <row r="22" spans="1:16" x14ac:dyDescent="0.25">
      <c r="A22">
        <v>477</v>
      </c>
      <c r="B22" t="s">
        <v>50</v>
      </c>
      <c r="C22" t="s">
        <v>51</v>
      </c>
      <c r="D22">
        <v>71.97</v>
      </c>
      <c r="E22">
        <v>4</v>
      </c>
      <c r="F22">
        <v>-0.200157</v>
      </c>
      <c r="G22">
        <v>0.37470542000000001</v>
      </c>
      <c r="H22" t="s">
        <v>9</v>
      </c>
      <c r="I22">
        <v>0.372346699</v>
      </c>
      <c r="J22">
        <v>1.0504900000000001E-3</v>
      </c>
      <c r="K22">
        <v>-0.14869825</v>
      </c>
      <c r="L22">
        <v>-0.20552221100000001</v>
      </c>
      <c r="M22">
        <v>0.13604736200000001</v>
      </c>
      <c r="N22">
        <v>1</v>
      </c>
      <c r="O22" t="str">
        <f t="shared" si="0"/>
        <v>Stable</v>
      </c>
      <c r="P22" t="str">
        <f t="shared" si="1"/>
        <v>Stable</v>
      </c>
    </row>
    <row r="23" spans="1:16" x14ac:dyDescent="0.25">
      <c r="A23">
        <v>485</v>
      </c>
      <c r="B23" t="s">
        <v>52</v>
      </c>
      <c r="C23" t="s">
        <v>53</v>
      </c>
      <c r="D23">
        <v>73.510000000000005</v>
      </c>
      <c r="E23">
        <v>6</v>
      </c>
      <c r="F23">
        <v>0.83758500000000002</v>
      </c>
      <c r="G23">
        <v>0.380989788</v>
      </c>
      <c r="H23" t="s">
        <v>9</v>
      </c>
      <c r="I23">
        <v>0.70121491000000002</v>
      </c>
      <c r="J23">
        <v>2.7183596000000001E-2</v>
      </c>
      <c r="K23">
        <v>9.2975999999999996E-3</v>
      </c>
      <c r="L23">
        <v>-0.11259329899999999</v>
      </c>
      <c r="M23">
        <v>0.18785770299999999</v>
      </c>
      <c r="N23">
        <v>0</v>
      </c>
      <c r="O23" t="str">
        <f t="shared" si="0"/>
        <v>Unstable</v>
      </c>
      <c r="P23" t="str">
        <f t="shared" si="1"/>
        <v>Stable</v>
      </c>
    </row>
    <row r="24" spans="1:16" x14ac:dyDescent="0.25">
      <c r="A24">
        <v>498</v>
      </c>
      <c r="B24" t="s">
        <v>54</v>
      </c>
      <c r="C24" t="s">
        <v>55</v>
      </c>
      <c r="D24">
        <v>81.34</v>
      </c>
      <c r="E24">
        <v>7</v>
      </c>
      <c r="F24">
        <v>-0.26755299999999999</v>
      </c>
      <c r="G24">
        <v>0.39120188531028999</v>
      </c>
      <c r="H24" t="s">
        <v>9</v>
      </c>
      <c r="I24">
        <v>0.52463465929031305</v>
      </c>
      <c r="J24">
        <v>1.79917957199116E-2</v>
      </c>
      <c r="K24">
        <v>-3.8813221771270001E-2</v>
      </c>
      <c r="L24">
        <v>-0.20152888949339501</v>
      </c>
      <c r="M24">
        <v>0.157515666354447</v>
      </c>
      <c r="N24">
        <v>0</v>
      </c>
      <c r="O24" t="str">
        <f t="shared" si="0"/>
        <v>Stable</v>
      </c>
      <c r="P24" t="str">
        <f t="shared" si="1"/>
        <v>Stable</v>
      </c>
    </row>
    <row r="25" spans="1:16" x14ac:dyDescent="0.25">
      <c r="A25">
        <v>501</v>
      </c>
      <c r="B25" t="s">
        <v>56</v>
      </c>
      <c r="C25" t="s">
        <v>57</v>
      </c>
      <c r="D25">
        <v>83.66</v>
      </c>
      <c r="E25">
        <v>14</v>
      </c>
      <c r="F25">
        <v>-0.49906099999999998</v>
      </c>
      <c r="G25">
        <v>0.39355852299999999</v>
      </c>
      <c r="H25" t="s">
        <v>9</v>
      </c>
      <c r="I25">
        <v>0.83992659999999997</v>
      </c>
      <c r="J25">
        <v>1.612311E-2</v>
      </c>
      <c r="K25">
        <v>0.19371217800000001</v>
      </c>
      <c r="L25">
        <v>-7.2446969999999999E-2</v>
      </c>
      <c r="M25">
        <v>0.113068973</v>
      </c>
      <c r="N25">
        <v>1</v>
      </c>
      <c r="O25" t="str">
        <f t="shared" si="0"/>
        <v>Stable</v>
      </c>
      <c r="P25" t="str">
        <f t="shared" si="1"/>
        <v>Stable</v>
      </c>
    </row>
    <row r="26" spans="1:16" x14ac:dyDescent="0.25">
      <c r="A26">
        <v>553</v>
      </c>
      <c r="B26" t="s">
        <v>58</v>
      </c>
      <c r="C26" t="s">
        <v>59</v>
      </c>
      <c r="D26">
        <v>93.76</v>
      </c>
      <c r="E26">
        <v>5</v>
      </c>
      <c r="F26">
        <v>2.30962E-4</v>
      </c>
      <c r="G26">
        <v>0.43440691300000001</v>
      </c>
      <c r="H26" t="s">
        <v>9</v>
      </c>
      <c r="I26">
        <v>0.72894477800000002</v>
      </c>
      <c r="J26">
        <v>0.13795814100000001</v>
      </c>
      <c r="K26">
        <v>-6.01876E-4</v>
      </c>
      <c r="L26">
        <v>-6.6734208000000003E-2</v>
      </c>
      <c r="M26">
        <v>6.8853414000000002E-2</v>
      </c>
      <c r="N26">
        <v>0</v>
      </c>
      <c r="O26" t="str">
        <f t="shared" si="0"/>
        <v>Unstable</v>
      </c>
      <c r="P26" t="str">
        <f t="shared" si="1"/>
        <v>Stable</v>
      </c>
    </row>
    <row r="27" spans="1:16" x14ac:dyDescent="0.25">
      <c r="A27">
        <v>555</v>
      </c>
      <c r="B27" t="s">
        <v>60</v>
      </c>
      <c r="C27" t="s">
        <v>61</v>
      </c>
      <c r="D27">
        <v>91.33</v>
      </c>
      <c r="E27">
        <v>9</v>
      </c>
      <c r="F27">
        <v>0.44345200000000001</v>
      </c>
      <c r="G27">
        <v>0.435978005</v>
      </c>
      <c r="H27" t="s">
        <v>9</v>
      </c>
      <c r="I27">
        <v>0.56890749900000004</v>
      </c>
      <c r="J27">
        <v>1.1843632E-2</v>
      </c>
      <c r="K27">
        <v>2.5593181999999999E-2</v>
      </c>
      <c r="L27">
        <v>-0.10293076800000001</v>
      </c>
      <c r="M27">
        <v>4.4932145E-2</v>
      </c>
      <c r="N27">
        <v>0</v>
      </c>
      <c r="O27" t="str">
        <f t="shared" si="0"/>
        <v>Unstable</v>
      </c>
      <c r="P27" t="str">
        <f t="shared" si="1"/>
        <v>Stable</v>
      </c>
    </row>
    <row r="28" spans="1:16" x14ac:dyDescent="0.25">
      <c r="A28">
        <v>570</v>
      </c>
      <c r="B28" t="s">
        <v>62</v>
      </c>
      <c r="C28" t="s">
        <v>63</v>
      </c>
      <c r="D28">
        <v>88.77</v>
      </c>
      <c r="E28">
        <v>0</v>
      </c>
      <c r="F28">
        <v>1.2698700000000001</v>
      </c>
      <c r="G28">
        <v>0.44776119399999997</v>
      </c>
      <c r="H28" t="s">
        <v>12</v>
      </c>
      <c r="I28">
        <v>0.19349439399999999</v>
      </c>
      <c r="J28">
        <v>-6.4003785999999993E-2</v>
      </c>
      <c r="K28">
        <v>-0.19574483600000001</v>
      </c>
      <c r="L28">
        <v>-8.0037684999999997E-2</v>
      </c>
      <c r="M28">
        <v>-5.6188606000000002E-2</v>
      </c>
      <c r="N28">
        <v>1</v>
      </c>
      <c r="O28" t="str">
        <f t="shared" si="0"/>
        <v>Unstable</v>
      </c>
      <c r="P28" t="str">
        <f t="shared" si="1"/>
        <v>Stable</v>
      </c>
    </row>
    <row r="29" spans="1:16" x14ac:dyDescent="0.25">
      <c r="A29">
        <v>571</v>
      </c>
      <c r="B29" t="s">
        <v>64</v>
      </c>
      <c r="C29" t="s">
        <v>65</v>
      </c>
      <c r="D29">
        <v>83.59</v>
      </c>
      <c r="E29">
        <v>7</v>
      </c>
      <c r="F29">
        <v>1.94316</v>
      </c>
      <c r="G29">
        <v>0.44854674</v>
      </c>
      <c r="H29" t="s">
        <v>9</v>
      </c>
      <c r="I29">
        <v>0.66116434300000004</v>
      </c>
      <c r="J29">
        <v>1.8838825999999999E-2</v>
      </c>
      <c r="K29">
        <v>-1.8524290000000001E-3</v>
      </c>
      <c r="L29">
        <v>9.7728694000000005E-2</v>
      </c>
      <c r="M29">
        <v>-4.3020057E-2</v>
      </c>
      <c r="N29">
        <v>0</v>
      </c>
      <c r="O29" t="str">
        <f t="shared" si="0"/>
        <v>Unstable</v>
      </c>
      <c r="P29" t="str">
        <f t="shared" si="1"/>
        <v>Stable</v>
      </c>
    </row>
    <row r="30" spans="1:16" x14ac:dyDescent="0.25">
      <c r="A30">
        <v>605</v>
      </c>
      <c r="B30" t="s">
        <v>66</v>
      </c>
      <c r="C30" t="s">
        <v>67</v>
      </c>
      <c r="D30">
        <v>89.25</v>
      </c>
      <c r="E30">
        <v>6</v>
      </c>
      <c r="F30">
        <v>1.46506</v>
      </c>
      <c r="G30">
        <v>0.47525530199999999</v>
      </c>
      <c r="H30" t="s">
        <v>9</v>
      </c>
      <c r="I30">
        <v>0.42658326000000002</v>
      </c>
      <c r="J30">
        <v>-7.8106085000000006E-2</v>
      </c>
      <c r="K30">
        <v>-1.5456161E-2</v>
      </c>
      <c r="L30">
        <v>-6.6711510000000002E-3</v>
      </c>
      <c r="M30">
        <v>-6.2652652000000003E-2</v>
      </c>
      <c r="N30">
        <v>0</v>
      </c>
      <c r="O30" t="str">
        <f t="shared" si="0"/>
        <v>Unstable</v>
      </c>
      <c r="P30" t="str">
        <f t="shared" si="1"/>
        <v>Stable</v>
      </c>
    </row>
    <row r="31" spans="1:16" x14ac:dyDescent="0.25">
      <c r="A31">
        <v>613</v>
      </c>
      <c r="B31" t="s">
        <v>68</v>
      </c>
      <c r="C31" t="s">
        <v>69</v>
      </c>
      <c r="D31">
        <v>90.44</v>
      </c>
      <c r="E31">
        <v>4</v>
      </c>
      <c r="F31">
        <v>-0.16420100000000001</v>
      </c>
      <c r="G31">
        <v>0.48153966999999998</v>
      </c>
      <c r="H31" t="s">
        <v>12</v>
      </c>
      <c r="I31">
        <v>0.205209851</v>
      </c>
      <c r="J31">
        <v>-4.6529680000000004E-3</v>
      </c>
      <c r="K31">
        <v>-0.144773546</v>
      </c>
      <c r="L31">
        <v>-0.17572479399999999</v>
      </c>
      <c r="M31">
        <v>-5.9108148999999999E-2</v>
      </c>
      <c r="N31">
        <v>1</v>
      </c>
      <c r="O31" t="str">
        <f t="shared" si="0"/>
        <v>Stable</v>
      </c>
      <c r="P31" t="str">
        <f t="shared" si="1"/>
        <v>Stable</v>
      </c>
    </row>
    <row r="32" spans="1:16" x14ac:dyDescent="0.25">
      <c r="A32">
        <v>614</v>
      </c>
      <c r="B32" t="s">
        <v>70</v>
      </c>
      <c r="C32" t="s">
        <v>71</v>
      </c>
      <c r="D32">
        <v>86.73</v>
      </c>
      <c r="E32">
        <v>2</v>
      </c>
      <c r="F32">
        <v>-0.74238300000000002</v>
      </c>
      <c r="G32">
        <v>0.482325216</v>
      </c>
      <c r="H32" t="s">
        <v>12</v>
      </c>
      <c r="I32">
        <v>0.21420699400000001</v>
      </c>
      <c r="J32">
        <v>-3.4199404000000003E-2</v>
      </c>
      <c r="K32">
        <v>-0.12913738799999999</v>
      </c>
      <c r="L32">
        <v>-0.14785231700000001</v>
      </c>
      <c r="M32">
        <v>-6.4073204999999994E-2</v>
      </c>
      <c r="N32">
        <v>1</v>
      </c>
      <c r="O32" t="str">
        <f t="shared" si="0"/>
        <v>Stable</v>
      </c>
      <c r="P32" t="str">
        <f t="shared" si="1"/>
        <v>Stable</v>
      </c>
    </row>
    <row r="33" spans="1:16" x14ac:dyDescent="0.25">
      <c r="A33">
        <v>621</v>
      </c>
      <c r="B33" t="s">
        <v>72</v>
      </c>
      <c r="C33" t="s">
        <v>73</v>
      </c>
      <c r="D33">
        <v>70.040000000000006</v>
      </c>
      <c r="E33">
        <v>11</v>
      </c>
      <c r="F33">
        <v>3.4433400000000001</v>
      </c>
      <c r="G33">
        <v>0.48782403800000002</v>
      </c>
      <c r="H33" t="s">
        <v>9</v>
      </c>
      <c r="I33">
        <v>0.63328057500000001</v>
      </c>
      <c r="J33">
        <v>1.0678908000000001E-2</v>
      </c>
      <c r="K33">
        <v>2.1137229E-2</v>
      </c>
      <c r="L33">
        <v>7.3965486999999996E-2</v>
      </c>
      <c r="M33">
        <v>-6.1970356999999997E-2</v>
      </c>
      <c r="N33">
        <v>1</v>
      </c>
      <c r="O33" t="str">
        <f t="shared" si="0"/>
        <v>Unstable</v>
      </c>
      <c r="P33" t="str">
        <f t="shared" si="1"/>
        <v>Stable</v>
      </c>
    </row>
    <row r="34" spans="1:16" x14ac:dyDescent="0.25">
      <c r="A34">
        <v>655</v>
      </c>
      <c r="B34" t="s">
        <v>74</v>
      </c>
      <c r="C34" t="s">
        <v>75</v>
      </c>
      <c r="D34">
        <v>87.44</v>
      </c>
      <c r="E34">
        <v>3</v>
      </c>
      <c r="F34">
        <v>-2.57958</v>
      </c>
      <c r="G34">
        <v>0.51453260000000001</v>
      </c>
      <c r="H34" t="s">
        <v>15</v>
      </c>
      <c r="I34">
        <v>0.26556816700000002</v>
      </c>
      <c r="J34">
        <v>-5.1090337999999999E-2</v>
      </c>
      <c r="K34">
        <v>-0.13403432500000001</v>
      </c>
      <c r="L34">
        <v>-7.4032378999999995E-2</v>
      </c>
      <c r="M34">
        <v>-6.4744098999999999E-2</v>
      </c>
      <c r="N34">
        <v>1</v>
      </c>
      <c r="O34" t="str">
        <f t="shared" si="0"/>
        <v>Stable</v>
      </c>
      <c r="P34" t="str">
        <f t="shared" si="1"/>
        <v>Stable</v>
      </c>
    </row>
    <row r="35" spans="1:16" x14ac:dyDescent="0.25">
      <c r="A35">
        <v>665</v>
      </c>
      <c r="B35" t="s">
        <v>76</v>
      </c>
      <c r="C35" t="s">
        <v>77</v>
      </c>
      <c r="D35">
        <v>91.16</v>
      </c>
      <c r="E35">
        <v>3</v>
      </c>
      <c r="F35">
        <v>-0.60201400000000005</v>
      </c>
      <c r="G35">
        <v>0.52238806000000004</v>
      </c>
      <c r="H35" t="s">
        <v>15</v>
      </c>
      <c r="I35">
        <v>0.25166925800000001</v>
      </c>
      <c r="J35">
        <v>8.3544999999999995E-4</v>
      </c>
      <c r="K35">
        <v>-0.135000489</v>
      </c>
      <c r="L35">
        <v>-0.131735202</v>
      </c>
      <c r="M35">
        <v>-7.1899809999999995E-2</v>
      </c>
      <c r="N35">
        <v>0</v>
      </c>
      <c r="O35" t="str">
        <f t="shared" si="0"/>
        <v>Stable</v>
      </c>
      <c r="P35" t="str">
        <f t="shared" si="1"/>
        <v>Stable</v>
      </c>
    </row>
    <row r="36" spans="1:16" x14ac:dyDescent="0.25">
      <c r="A36">
        <v>678</v>
      </c>
      <c r="B36" t="s">
        <v>78</v>
      </c>
      <c r="C36" t="s">
        <v>79</v>
      </c>
      <c r="D36">
        <v>49.44</v>
      </c>
      <c r="E36">
        <v>0</v>
      </c>
      <c r="F36">
        <v>0.14044400000000001</v>
      </c>
      <c r="G36">
        <v>0.53260015699999996</v>
      </c>
      <c r="H36" t="s">
        <v>12</v>
      </c>
      <c r="I36">
        <v>0.111313753</v>
      </c>
      <c r="J36">
        <v>-0.20386618000000001</v>
      </c>
      <c r="K36">
        <v>-0.161949496</v>
      </c>
      <c r="L36">
        <v>-6.8508963000000006E-2</v>
      </c>
      <c r="M36">
        <v>-4.3830916999999997E-2</v>
      </c>
      <c r="N36">
        <v>0</v>
      </c>
      <c r="O36" t="str">
        <f t="shared" si="0"/>
        <v>Unstable</v>
      </c>
      <c r="P36" t="str">
        <f t="shared" si="1"/>
        <v>Stable</v>
      </c>
    </row>
    <row r="37" spans="1:16" x14ac:dyDescent="0.25">
      <c r="A37">
        <v>679</v>
      </c>
      <c r="B37" t="s">
        <v>80</v>
      </c>
      <c r="C37" t="s">
        <v>81</v>
      </c>
      <c r="D37">
        <v>43.29</v>
      </c>
      <c r="E37">
        <v>0</v>
      </c>
      <c r="F37">
        <v>-2.0889999999999999E-2</v>
      </c>
      <c r="G37">
        <v>0.53338570306362898</v>
      </c>
      <c r="H37" t="s">
        <v>12</v>
      </c>
      <c r="I37">
        <v>0.12814924120903001</v>
      </c>
      <c r="J37">
        <v>-0.168601723723113</v>
      </c>
      <c r="K37">
        <v>-0.17925509609282</v>
      </c>
      <c r="L37">
        <v>-6.8839057112733498E-2</v>
      </c>
      <c r="M37">
        <v>-4.4624190342922997E-2</v>
      </c>
      <c r="N37">
        <v>1</v>
      </c>
      <c r="O37" t="str">
        <f t="shared" si="0"/>
        <v>Stable</v>
      </c>
      <c r="P37" t="str">
        <f t="shared" si="1"/>
        <v>Stable</v>
      </c>
    </row>
    <row r="38" spans="1:16" x14ac:dyDescent="0.25">
      <c r="A38">
        <v>681</v>
      </c>
      <c r="B38" t="s">
        <v>82</v>
      </c>
      <c r="C38" t="s">
        <v>83</v>
      </c>
      <c r="D38">
        <v>40.93</v>
      </c>
      <c r="E38">
        <v>0</v>
      </c>
      <c r="F38">
        <v>0.89816200000000002</v>
      </c>
      <c r="G38">
        <v>0.53495679497250503</v>
      </c>
      <c r="H38" t="s">
        <v>12</v>
      </c>
      <c r="I38">
        <v>9.4339586794376304E-2</v>
      </c>
      <c r="J38">
        <v>-0.17138421061138301</v>
      </c>
      <c r="K38">
        <v>-0.168078005661567</v>
      </c>
      <c r="L38">
        <v>-0.112918494753539</v>
      </c>
      <c r="M38">
        <v>-4.27490106597542E-2</v>
      </c>
      <c r="N38">
        <v>1</v>
      </c>
      <c r="O38" t="str">
        <f t="shared" si="0"/>
        <v>Unstable</v>
      </c>
      <c r="P38" t="str">
        <f t="shared" si="1"/>
        <v>Stable</v>
      </c>
    </row>
    <row r="39" spans="1:16" x14ac:dyDescent="0.25">
      <c r="A39">
        <v>681</v>
      </c>
      <c r="B39" t="s">
        <v>84</v>
      </c>
      <c r="C39" t="s">
        <v>85</v>
      </c>
      <c r="D39">
        <v>40.93</v>
      </c>
      <c r="E39">
        <v>0</v>
      </c>
      <c r="F39">
        <v>0.40305099999999999</v>
      </c>
      <c r="G39">
        <v>0.53495679497250503</v>
      </c>
      <c r="H39" t="s">
        <v>12</v>
      </c>
      <c r="I39">
        <v>0.103325314819812</v>
      </c>
      <c r="J39">
        <v>-0.18201663582896099</v>
      </c>
      <c r="K39">
        <v>-0.167607465131829</v>
      </c>
      <c r="L39">
        <v>-9.1522952845941002E-2</v>
      </c>
      <c r="M39">
        <v>-4.4996939854075498E-2</v>
      </c>
      <c r="N39">
        <v>1</v>
      </c>
      <c r="O39" t="str">
        <f t="shared" si="0"/>
        <v>Unstable</v>
      </c>
      <c r="P39" t="str">
        <f t="shared" si="1"/>
        <v>Stable</v>
      </c>
    </row>
    <row r="40" spans="1:16" x14ac:dyDescent="0.25">
      <c r="A40">
        <v>690</v>
      </c>
      <c r="B40" t="s">
        <v>86</v>
      </c>
      <c r="C40" t="s">
        <v>87</v>
      </c>
      <c r="D40">
        <v>76.48</v>
      </c>
      <c r="E40">
        <v>10</v>
      </c>
      <c r="F40">
        <v>-0.52386500000000003</v>
      </c>
      <c r="G40">
        <v>0.54202670900000005</v>
      </c>
      <c r="H40" t="s">
        <v>9</v>
      </c>
      <c r="I40">
        <v>0.42988741400000002</v>
      </c>
      <c r="J40">
        <v>-3.2119960000000003E-2</v>
      </c>
      <c r="K40">
        <v>3.8835257999999998E-2</v>
      </c>
      <c r="L40">
        <v>-0.107761947</v>
      </c>
      <c r="M40">
        <v>-5.8535245E-2</v>
      </c>
      <c r="N40">
        <v>0</v>
      </c>
      <c r="O40" t="str">
        <f t="shared" si="0"/>
        <v>Stable</v>
      </c>
      <c r="P40" t="str">
        <f t="shared" si="1"/>
        <v>Stable</v>
      </c>
    </row>
    <row r="41" spans="1:16" x14ac:dyDescent="0.25">
      <c r="A41">
        <v>700</v>
      </c>
      <c r="B41" t="s">
        <v>88</v>
      </c>
      <c r="C41" t="s">
        <v>89</v>
      </c>
      <c r="D41">
        <v>77.03</v>
      </c>
      <c r="E41">
        <v>0</v>
      </c>
      <c r="F41">
        <v>4.9284499999999998</v>
      </c>
      <c r="G41">
        <v>0.549882168</v>
      </c>
      <c r="H41" t="s">
        <v>9</v>
      </c>
      <c r="I41">
        <v>0.59850049000000005</v>
      </c>
      <c r="J41">
        <v>-8.6537269999999999E-3</v>
      </c>
      <c r="K41">
        <v>-0.17018132699999999</v>
      </c>
      <c r="L41">
        <v>0.23135971499999999</v>
      </c>
      <c r="M41">
        <v>-4.3493479000000002E-2</v>
      </c>
      <c r="N41">
        <v>0</v>
      </c>
      <c r="O41" t="str">
        <f t="shared" si="0"/>
        <v>Unstable</v>
      </c>
      <c r="P41" t="str">
        <f t="shared" si="1"/>
        <v>Stable</v>
      </c>
    </row>
    <row r="42" spans="1:16" x14ac:dyDescent="0.25">
      <c r="A42">
        <v>701</v>
      </c>
      <c r="B42" t="s">
        <v>90</v>
      </c>
      <c r="C42" t="s">
        <v>91</v>
      </c>
      <c r="D42">
        <v>69.239999999999995</v>
      </c>
      <c r="E42">
        <v>0</v>
      </c>
      <c r="F42">
        <v>-5.8126799999999999E-2</v>
      </c>
      <c r="G42">
        <v>0.55066771400000003</v>
      </c>
      <c r="H42" t="s">
        <v>12</v>
      </c>
      <c r="I42">
        <v>0.158111528</v>
      </c>
      <c r="J42">
        <v>-4.8975862000000002E-2</v>
      </c>
      <c r="K42">
        <v>-0.20498859899999999</v>
      </c>
      <c r="L42">
        <v>-0.128932186</v>
      </c>
      <c r="M42">
        <v>-4.8461135000000002E-2</v>
      </c>
      <c r="N42">
        <v>1</v>
      </c>
      <c r="O42" t="str">
        <f t="shared" si="0"/>
        <v>Stable</v>
      </c>
      <c r="P42" t="str">
        <f t="shared" si="1"/>
        <v>Stable</v>
      </c>
    </row>
    <row r="43" spans="1:16" x14ac:dyDescent="0.25">
      <c r="A43">
        <v>704</v>
      </c>
      <c r="B43" t="s">
        <v>92</v>
      </c>
      <c r="C43" t="s">
        <v>93</v>
      </c>
      <c r="D43">
        <v>59.44</v>
      </c>
      <c r="E43">
        <v>0</v>
      </c>
      <c r="F43">
        <v>-0.226323</v>
      </c>
      <c r="G43">
        <v>0.553024352</v>
      </c>
      <c r="H43" t="s">
        <v>12</v>
      </c>
      <c r="I43">
        <v>0.11862323399999999</v>
      </c>
      <c r="J43">
        <v>-7.3526960000000002E-2</v>
      </c>
      <c r="K43">
        <v>-0.19061150900000001</v>
      </c>
      <c r="L43">
        <v>-0.163689691</v>
      </c>
      <c r="M43">
        <v>-4.3017914999999997E-2</v>
      </c>
      <c r="N43">
        <v>1</v>
      </c>
      <c r="O43" t="str">
        <f t="shared" si="0"/>
        <v>Stable</v>
      </c>
      <c r="P43" t="str">
        <f t="shared" si="1"/>
        <v>Stable</v>
      </c>
    </row>
    <row r="44" spans="1:16" x14ac:dyDescent="0.25">
      <c r="A44">
        <v>710</v>
      </c>
      <c r="B44" t="s">
        <v>94</v>
      </c>
      <c r="C44" t="s">
        <v>95</v>
      </c>
      <c r="D44">
        <v>82.04</v>
      </c>
      <c r="E44">
        <v>5</v>
      </c>
      <c r="F44">
        <v>0.11275</v>
      </c>
      <c r="G44">
        <v>0.55773762800000004</v>
      </c>
      <c r="H44" t="s">
        <v>9</v>
      </c>
      <c r="I44">
        <v>0.35044389999999997</v>
      </c>
      <c r="J44">
        <v>-1.6323318E-2</v>
      </c>
      <c r="K44">
        <v>-5.0663629000000002E-2</v>
      </c>
      <c r="L44">
        <v>-0.119913728</v>
      </c>
      <c r="M44">
        <v>-5.2124733999999999E-2</v>
      </c>
      <c r="N44">
        <v>0</v>
      </c>
      <c r="O44" t="str">
        <f t="shared" si="0"/>
        <v>Unstable</v>
      </c>
      <c r="P44" t="str">
        <f t="shared" si="1"/>
        <v>Stable</v>
      </c>
    </row>
    <row r="45" spans="1:16" x14ac:dyDescent="0.25">
      <c r="A45">
        <v>795</v>
      </c>
      <c r="B45" t="s">
        <v>96</v>
      </c>
      <c r="C45" t="s">
        <v>97</v>
      </c>
      <c r="D45">
        <v>79.66</v>
      </c>
      <c r="E45">
        <v>8</v>
      </c>
      <c r="F45">
        <v>-1.3975599999999999</v>
      </c>
      <c r="G45">
        <v>0.62450903400000002</v>
      </c>
      <c r="H45" t="s">
        <v>9</v>
      </c>
      <c r="I45">
        <v>0.60322785400000001</v>
      </c>
      <c r="J45">
        <v>6.6233139999999999E-3</v>
      </c>
      <c r="K45">
        <v>0.10142999799999999</v>
      </c>
      <c r="L45">
        <v>-6.5222824999999998E-2</v>
      </c>
      <c r="M45">
        <v>-2.9071942999999999E-2</v>
      </c>
      <c r="N45">
        <v>0</v>
      </c>
      <c r="O45" t="str">
        <f t="shared" si="0"/>
        <v>Stable</v>
      </c>
      <c r="P45" t="str">
        <f t="shared" si="1"/>
        <v>Stable</v>
      </c>
    </row>
    <row r="46" spans="1:16" x14ac:dyDescent="0.25">
      <c r="A46">
        <v>832</v>
      </c>
      <c r="B46" t="s">
        <v>98</v>
      </c>
      <c r="C46" t="s">
        <v>99</v>
      </c>
      <c r="D46">
        <v>50.27</v>
      </c>
      <c r="E46">
        <v>6</v>
      </c>
      <c r="F46">
        <v>-1.3414900000000001</v>
      </c>
      <c r="G46">
        <v>0.65357423400000003</v>
      </c>
      <c r="H46" t="s">
        <v>12</v>
      </c>
      <c r="I46">
        <v>0.13643793800000001</v>
      </c>
      <c r="J46">
        <v>-0.237030927</v>
      </c>
      <c r="K46">
        <v>-6.9756387000000003E-2</v>
      </c>
      <c r="L46">
        <v>-9.7922436000000002E-2</v>
      </c>
      <c r="M46">
        <v>-4.8321621000000002E-2</v>
      </c>
      <c r="N46">
        <v>0</v>
      </c>
      <c r="O46" t="str">
        <f t="shared" si="0"/>
        <v>Stable</v>
      </c>
      <c r="P46" t="str">
        <f t="shared" si="1"/>
        <v>Stable</v>
      </c>
    </row>
    <row r="47" spans="1:16" x14ac:dyDescent="0.25">
      <c r="A47">
        <v>834</v>
      </c>
      <c r="B47" t="s">
        <v>100</v>
      </c>
      <c r="C47" t="s">
        <v>101</v>
      </c>
      <c r="D47">
        <v>52.82</v>
      </c>
      <c r="E47">
        <v>5</v>
      </c>
      <c r="F47">
        <v>-0.17316999999999999</v>
      </c>
      <c r="G47">
        <v>0.65514532599999997</v>
      </c>
      <c r="H47" t="s">
        <v>12</v>
      </c>
      <c r="I47">
        <v>0.13841535199999999</v>
      </c>
      <c r="J47">
        <v>-0.16142789699999999</v>
      </c>
      <c r="K47">
        <v>-8.6792607999999993E-2</v>
      </c>
      <c r="L47">
        <v>-0.157710659</v>
      </c>
      <c r="M47">
        <v>-4.5122793000000001E-2</v>
      </c>
      <c r="N47">
        <v>0</v>
      </c>
      <c r="O47" t="str">
        <f t="shared" si="0"/>
        <v>Stable</v>
      </c>
      <c r="P47" t="str">
        <f t="shared" si="1"/>
        <v>Stable</v>
      </c>
    </row>
    <row r="48" spans="1:16" x14ac:dyDescent="0.25">
      <c r="A48">
        <v>835</v>
      </c>
      <c r="B48" t="s">
        <v>102</v>
      </c>
      <c r="C48" t="s">
        <v>103</v>
      </c>
      <c r="D48">
        <v>56.56</v>
      </c>
      <c r="E48">
        <v>11</v>
      </c>
      <c r="F48">
        <v>0.57701599999999997</v>
      </c>
      <c r="G48">
        <v>0.655930872</v>
      </c>
      <c r="H48" t="s">
        <v>9</v>
      </c>
      <c r="I48">
        <v>0.47549185199999999</v>
      </c>
      <c r="J48">
        <v>-1.8504637000000001E-2</v>
      </c>
      <c r="K48">
        <v>2.6482763999999999E-2</v>
      </c>
      <c r="L48">
        <v>-9.4454977999999995E-2</v>
      </c>
      <c r="M48">
        <v>-2.7500606E-2</v>
      </c>
      <c r="N48">
        <v>0</v>
      </c>
      <c r="O48" t="str">
        <f t="shared" si="0"/>
        <v>Unstable</v>
      </c>
      <c r="P48" t="str">
        <f t="shared" si="1"/>
        <v>Stable</v>
      </c>
    </row>
    <row r="49" spans="1:16" x14ac:dyDescent="0.25">
      <c r="A49">
        <v>844</v>
      </c>
      <c r="B49" t="s">
        <v>104</v>
      </c>
      <c r="C49" t="s">
        <v>105</v>
      </c>
      <c r="D49">
        <v>47.92</v>
      </c>
      <c r="E49">
        <v>0</v>
      </c>
      <c r="F49">
        <v>0.37472299999999997</v>
      </c>
      <c r="G49">
        <v>0.66300078600000001</v>
      </c>
      <c r="H49" t="s">
        <v>12</v>
      </c>
      <c r="I49">
        <v>0.102812052</v>
      </c>
      <c r="J49">
        <v>-0.19044005899999999</v>
      </c>
      <c r="K49">
        <v>-0.164003238</v>
      </c>
      <c r="L49">
        <v>-9.9643932000000005E-2</v>
      </c>
      <c r="M49">
        <v>-3.2570027000000001E-2</v>
      </c>
      <c r="N49">
        <v>1</v>
      </c>
      <c r="O49" t="str">
        <f t="shared" si="0"/>
        <v>Unstable</v>
      </c>
      <c r="P49" t="str">
        <f t="shared" si="1"/>
        <v>Stable</v>
      </c>
    </row>
    <row r="50" spans="1:16" x14ac:dyDescent="0.25">
      <c r="A50">
        <v>845</v>
      </c>
      <c r="B50" t="s">
        <v>106</v>
      </c>
      <c r="C50" t="s">
        <v>107</v>
      </c>
      <c r="D50">
        <v>44.52</v>
      </c>
      <c r="E50">
        <v>2</v>
      </c>
      <c r="F50">
        <v>0.10219300000000001</v>
      </c>
      <c r="G50">
        <v>0.66378633200000003</v>
      </c>
      <c r="H50" t="s">
        <v>12</v>
      </c>
      <c r="I50">
        <v>0.181074291</v>
      </c>
      <c r="J50">
        <v>-0.17924947899999999</v>
      </c>
      <c r="K50">
        <v>-0.116926154</v>
      </c>
      <c r="L50">
        <v>-7.3155788999999999E-2</v>
      </c>
      <c r="M50">
        <v>-3.9063595E-2</v>
      </c>
      <c r="N50">
        <v>1</v>
      </c>
      <c r="O50" t="str">
        <f t="shared" si="0"/>
        <v>Unstable</v>
      </c>
      <c r="P50" t="str">
        <f t="shared" si="1"/>
        <v>Stable</v>
      </c>
    </row>
    <row r="51" spans="1:16" x14ac:dyDescent="0.25">
      <c r="A51">
        <v>849</v>
      </c>
      <c r="B51" t="s">
        <v>108</v>
      </c>
      <c r="C51" t="s">
        <v>109</v>
      </c>
      <c r="D51">
        <v>53.29</v>
      </c>
      <c r="E51">
        <v>7</v>
      </c>
      <c r="F51">
        <v>0.23722599999999999</v>
      </c>
      <c r="G51">
        <v>0.66692851500000006</v>
      </c>
      <c r="H51" t="s">
        <v>15</v>
      </c>
      <c r="I51">
        <v>0.235977203</v>
      </c>
      <c r="J51">
        <v>-0.124983524</v>
      </c>
      <c r="K51">
        <v>-5.6073342999999998E-2</v>
      </c>
      <c r="L51">
        <v>-0.117556244</v>
      </c>
      <c r="M51">
        <v>-5.4878995E-2</v>
      </c>
      <c r="N51">
        <v>0</v>
      </c>
      <c r="O51" t="str">
        <f t="shared" si="0"/>
        <v>Unstable</v>
      </c>
      <c r="P51" t="str">
        <f t="shared" si="1"/>
        <v>Stable</v>
      </c>
    </row>
    <row r="52" spans="1:16" x14ac:dyDescent="0.25">
      <c r="A52">
        <v>858</v>
      </c>
      <c r="B52" t="s">
        <v>110</v>
      </c>
      <c r="C52" t="s">
        <v>111</v>
      </c>
      <c r="D52">
        <v>77.83</v>
      </c>
      <c r="E52">
        <v>15</v>
      </c>
      <c r="F52">
        <v>1.49814</v>
      </c>
      <c r="G52">
        <v>0.67399842899999995</v>
      </c>
      <c r="H52" t="s">
        <v>9</v>
      </c>
      <c r="I52">
        <v>0.76514655399999998</v>
      </c>
      <c r="J52">
        <v>-7.3902569999999999E-3</v>
      </c>
      <c r="K52">
        <v>0.203187005</v>
      </c>
      <c r="L52">
        <v>6.0173029999999999E-3</v>
      </c>
      <c r="M52">
        <v>-2.6136805999999999E-2</v>
      </c>
      <c r="N52">
        <v>0</v>
      </c>
      <c r="O52" t="str">
        <f t="shared" si="0"/>
        <v>Unstable</v>
      </c>
      <c r="P52" t="str">
        <f t="shared" si="1"/>
        <v>Stable</v>
      </c>
    </row>
    <row r="53" spans="1:16" x14ac:dyDescent="0.25">
      <c r="A53">
        <v>878</v>
      </c>
      <c r="B53" t="s">
        <v>112</v>
      </c>
      <c r="C53" t="s">
        <v>113</v>
      </c>
      <c r="D53">
        <v>84.71</v>
      </c>
      <c r="E53">
        <v>12</v>
      </c>
      <c r="F53">
        <v>4.5903400000000003</v>
      </c>
      <c r="G53">
        <v>0.68970934800000006</v>
      </c>
      <c r="H53" t="s">
        <v>9</v>
      </c>
      <c r="I53">
        <v>0.85171866399999996</v>
      </c>
      <c r="J53">
        <v>1.2969649E-2</v>
      </c>
      <c r="K53">
        <v>8.4406683999999996E-2</v>
      </c>
      <c r="L53">
        <v>0.20602785700000001</v>
      </c>
      <c r="M53">
        <v>-4.1154835000000001E-2</v>
      </c>
      <c r="N53">
        <v>0</v>
      </c>
      <c r="O53" t="str">
        <f t="shared" si="0"/>
        <v>Unstable</v>
      </c>
      <c r="P53" t="str">
        <f t="shared" si="1"/>
        <v>Stable</v>
      </c>
    </row>
    <row r="54" spans="1:16" x14ac:dyDescent="0.25">
      <c r="A54">
        <v>880</v>
      </c>
      <c r="B54" t="s">
        <v>114</v>
      </c>
      <c r="C54" t="s">
        <v>115</v>
      </c>
      <c r="D54">
        <v>80.650000000000006</v>
      </c>
      <c r="E54">
        <v>9</v>
      </c>
      <c r="F54">
        <v>0.22978399999999999</v>
      </c>
      <c r="G54">
        <v>0.69128044</v>
      </c>
      <c r="H54" t="s">
        <v>9</v>
      </c>
      <c r="I54">
        <v>0.344202071</v>
      </c>
      <c r="J54">
        <v>-3.8908482000000001E-2</v>
      </c>
      <c r="K54">
        <v>2.2174453E-2</v>
      </c>
      <c r="L54">
        <v>-0.16307823099999999</v>
      </c>
      <c r="M54">
        <v>-6.5454976999999998E-2</v>
      </c>
      <c r="N54">
        <v>0</v>
      </c>
      <c r="O54" t="str">
        <f t="shared" si="0"/>
        <v>Unstable</v>
      </c>
      <c r="P54" t="str">
        <f t="shared" si="1"/>
        <v>Stable</v>
      </c>
    </row>
    <row r="55" spans="1:16" x14ac:dyDescent="0.25">
      <c r="A55">
        <v>889</v>
      </c>
      <c r="B55" t="s">
        <v>116</v>
      </c>
      <c r="C55" t="s">
        <v>117</v>
      </c>
      <c r="D55">
        <v>68.08</v>
      </c>
      <c r="E55">
        <v>3</v>
      </c>
      <c r="F55">
        <v>2.2709100000000002</v>
      </c>
      <c r="G55">
        <v>0.69835035300000003</v>
      </c>
      <c r="H55" t="s">
        <v>9</v>
      </c>
      <c r="I55">
        <v>0.41242405799999998</v>
      </c>
      <c r="J55">
        <v>-4.7285503999999999E-2</v>
      </c>
      <c r="K55">
        <v>-0.110629956</v>
      </c>
      <c r="L55">
        <v>5.1745106999999999E-2</v>
      </c>
      <c r="M55">
        <v>-7.0874898000000006E-2</v>
      </c>
      <c r="N55">
        <v>0</v>
      </c>
      <c r="O55" t="str">
        <f t="shared" si="0"/>
        <v>Unstable</v>
      </c>
      <c r="P55" t="str">
        <f t="shared" si="1"/>
        <v>Stable</v>
      </c>
    </row>
    <row r="56" spans="1:16" x14ac:dyDescent="0.25">
      <c r="A56">
        <v>891</v>
      </c>
      <c r="B56" t="s">
        <v>118</v>
      </c>
      <c r="C56" t="s">
        <v>119</v>
      </c>
      <c r="D56">
        <v>61.45</v>
      </c>
      <c r="E56">
        <v>3</v>
      </c>
      <c r="F56">
        <v>2.3937499999999998</v>
      </c>
      <c r="G56">
        <v>0.69992144499999998</v>
      </c>
      <c r="H56" t="s">
        <v>9</v>
      </c>
      <c r="I56">
        <v>0.43065136700000001</v>
      </c>
      <c r="J56">
        <v>-7.0678931E-2</v>
      </c>
      <c r="K56">
        <v>-0.11006611199999999</v>
      </c>
      <c r="L56">
        <v>6.3171408999999998E-2</v>
      </c>
      <c r="M56">
        <v>-4.1244307000000001E-2</v>
      </c>
      <c r="N56">
        <v>0</v>
      </c>
      <c r="O56" t="str">
        <f t="shared" si="0"/>
        <v>Unstable</v>
      </c>
      <c r="P56" t="str">
        <f t="shared" si="1"/>
        <v>Stable</v>
      </c>
    </row>
    <row r="57" spans="1:16" x14ac:dyDescent="0.25">
      <c r="A57">
        <v>897</v>
      </c>
      <c r="B57" t="s">
        <v>120</v>
      </c>
      <c r="C57" t="s">
        <v>121</v>
      </c>
      <c r="D57">
        <v>79.959999999999994</v>
      </c>
      <c r="E57">
        <v>7</v>
      </c>
      <c r="F57">
        <v>0.79218999999999995</v>
      </c>
      <c r="G57">
        <v>0.70463472100000002</v>
      </c>
      <c r="H57" t="s">
        <v>15</v>
      </c>
      <c r="I57">
        <v>0.24908873400000001</v>
      </c>
      <c r="J57">
        <v>-2.0932499E-2</v>
      </c>
      <c r="K57">
        <v>-5.9813608999999997E-2</v>
      </c>
      <c r="L57">
        <v>-0.15973183199999999</v>
      </c>
      <c r="M57">
        <v>-9.9902635000000004E-2</v>
      </c>
      <c r="N57">
        <v>0</v>
      </c>
      <c r="O57" t="str">
        <f t="shared" si="0"/>
        <v>Unstable</v>
      </c>
      <c r="P57" t="str">
        <f t="shared" si="1"/>
        <v>Stable</v>
      </c>
    </row>
    <row r="58" spans="1:16" x14ac:dyDescent="0.25">
      <c r="A58">
        <v>898</v>
      </c>
      <c r="B58" t="s">
        <v>122</v>
      </c>
      <c r="C58" t="s">
        <v>123</v>
      </c>
      <c r="D58">
        <v>81.010000000000005</v>
      </c>
      <c r="E58">
        <v>14</v>
      </c>
      <c r="F58">
        <v>1.1691800000000001</v>
      </c>
      <c r="G58">
        <v>0.70542026700000005</v>
      </c>
      <c r="H58" t="s">
        <v>9</v>
      </c>
      <c r="I58">
        <v>0.77160870999999998</v>
      </c>
      <c r="J58">
        <v>1.6788986999999998E-2</v>
      </c>
      <c r="K58">
        <v>0.22422868000000001</v>
      </c>
      <c r="L58">
        <v>-1.7130156000000001E-2</v>
      </c>
      <c r="M58">
        <v>-4.1748108999999999E-2</v>
      </c>
      <c r="N58">
        <v>0</v>
      </c>
      <c r="O58" t="str">
        <f t="shared" si="0"/>
        <v>Unstable</v>
      </c>
      <c r="P58" t="str">
        <f t="shared" si="1"/>
        <v>Stable</v>
      </c>
    </row>
    <row r="59" spans="1:16" x14ac:dyDescent="0.25">
      <c r="A59">
        <v>900</v>
      </c>
      <c r="B59" t="s">
        <v>124</v>
      </c>
      <c r="C59" t="s">
        <v>125</v>
      </c>
      <c r="D59">
        <v>80.650000000000006</v>
      </c>
      <c r="E59">
        <v>12</v>
      </c>
      <c r="F59">
        <v>-6.0891399999999998E-3</v>
      </c>
      <c r="G59">
        <v>0.70699135899999999</v>
      </c>
      <c r="H59" t="s">
        <v>9</v>
      </c>
      <c r="I59">
        <v>0.440515459</v>
      </c>
      <c r="J59">
        <v>-3.1991693000000002E-2</v>
      </c>
      <c r="K59">
        <v>0.101181637</v>
      </c>
      <c r="L59">
        <v>-0.13549726100000001</v>
      </c>
      <c r="M59">
        <v>-8.2646532999999994E-2</v>
      </c>
      <c r="N59">
        <v>0</v>
      </c>
      <c r="O59" t="str">
        <f t="shared" si="0"/>
        <v>Stable</v>
      </c>
      <c r="P59" t="str">
        <f t="shared" si="1"/>
        <v>Stable</v>
      </c>
    </row>
    <row r="60" spans="1:16" x14ac:dyDescent="0.25">
      <c r="A60">
        <v>902</v>
      </c>
      <c r="B60" t="s">
        <v>126</v>
      </c>
      <c r="C60" t="s">
        <v>127</v>
      </c>
      <c r="D60">
        <v>82.67</v>
      </c>
      <c r="E60">
        <v>8</v>
      </c>
      <c r="F60">
        <v>1.4985999999999999</v>
      </c>
      <c r="G60">
        <v>0.70856245100000004</v>
      </c>
      <c r="H60" t="s">
        <v>9</v>
      </c>
      <c r="I60">
        <v>0.70639395699999996</v>
      </c>
      <c r="J60">
        <v>3.3101700999999997E-2</v>
      </c>
      <c r="K60">
        <v>0.11178537600000001</v>
      </c>
      <c r="L60">
        <v>2.5230725999999998E-2</v>
      </c>
      <c r="M60">
        <v>-5.3193154999999999E-2</v>
      </c>
      <c r="N60">
        <v>0</v>
      </c>
      <c r="O60" t="str">
        <f t="shared" si="0"/>
        <v>Unstable</v>
      </c>
      <c r="P60" t="str">
        <f t="shared" si="1"/>
        <v>Stable</v>
      </c>
    </row>
    <row r="61" spans="1:16" x14ac:dyDescent="0.25">
      <c r="A61">
        <v>903</v>
      </c>
      <c r="B61" t="s">
        <v>128</v>
      </c>
      <c r="C61" t="s">
        <v>129</v>
      </c>
      <c r="D61">
        <v>82.99</v>
      </c>
      <c r="E61">
        <v>13</v>
      </c>
      <c r="F61">
        <v>0.21688299999999999</v>
      </c>
      <c r="G61">
        <v>0.70934799699999995</v>
      </c>
      <c r="H61" t="s">
        <v>9</v>
      </c>
      <c r="I61">
        <v>0.56069946299999995</v>
      </c>
      <c r="J61">
        <v>-1.0717101E-2</v>
      </c>
      <c r="K61">
        <v>0.17374263700000001</v>
      </c>
      <c r="L61">
        <v>-0.12639762800000001</v>
      </c>
      <c r="M61">
        <v>-6.5397754000000002E-2</v>
      </c>
      <c r="N61">
        <v>0</v>
      </c>
      <c r="O61" t="str">
        <f t="shared" si="0"/>
        <v>Unstable</v>
      </c>
      <c r="P61" t="str">
        <f t="shared" si="1"/>
        <v>Stable</v>
      </c>
    </row>
    <row r="62" spans="1:16" x14ac:dyDescent="0.25">
      <c r="A62">
        <v>904</v>
      </c>
      <c r="B62" t="s">
        <v>130</v>
      </c>
      <c r="C62" t="s">
        <v>131</v>
      </c>
      <c r="D62">
        <v>83.18</v>
      </c>
      <c r="E62">
        <v>11</v>
      </c>
      <c r="F62">
        <v>-0.91662399999999999</v>
      </c>
      <c r="G62">
        <v>0.71013354299999998</v>
      </c>
      <c r="H62" t="s">
        <v>9</v>
      </c>
      <c r="I62">
        <v>0.36598584099999998</v>
      </c>
      <c r="J62">
        <v>-7.5989109999999999E-3</v>
      </c>
      <c r="K62">
        <v>9.1272899999999997E-3</v>
      </c>
      <c r="L62">
        <v>-0.13825267999999999</v>
      </c>
      <c r="M62">
        <v>-8.6759165999999999E-2</v>
      </c>
      <c r="N62">
        <v>0</v>
      </c>
      <c r="O62" t="str">
        <f t="shared" si="0"/>
        <v>Stable</v>
      </c>
      <c r="P62" t="str">
        <f t="shared" si="1"/>
        <v>Stable</v>
      </c>
    </row>
    <row r="63" spans="1:16" x14ac:dyDescent="0.25">
      <c r="A63">
        <v>906</v>
      </c>
      <c r="B63" t="s">
        <v>132</v>
      </c>
      <c r="C63" t="s">
        <v>133</v>
      </c>
      <c r="D63">
        <v>85.93</v>
      </c>
      <c r="E63">
        <v>21</v>
      </c>
      <c r="F63">
        <v>0.34954800000000003</v>
      </c>
      <c r="G63">
        <v>0.71170463500000003</v>
      </c>
      <c r="H63" t="s">
        <v>9</v>
      </c>
      <c r="I63">
        <v>0.53806424100000005</v>
      </c>
      <c r="J63">
        <v>-5.9410112000000001E-2</v>
      </c>
      <c r="K63">
        <v>0.21945116100000001</v>
      </c>
      <c r="L63">
        <v>-0.14421367600000001</v>
      </c>
      <c r="M63">
        <v>-6.7232440000000004E-2</v>
      </c>
      <c r="N63">
        <v>0</v>
      </c>
      <c r="O63" t="str">
        <f t="shared" si="0"/>
        <v>Unstable</v>
      </c>
      <c r="P63" t="str">
        <f t="shared" si="1"/>
        <v>Stable</v>
      </c>
    </row>
    <row r="64" spans="1:16" x14ac:dyDescent="0.25">
      <c r="A64">
        <v>928</v>
      </c>
      <c r="B64" t="s">
        <v>134</v>
      </c>
      <c r="C64" t="s">
        <v>135</v>
      </c>
      <c r="D64">
        <v>87.84</v>
      </c>
      <c r="E64">
        <v>10</v>
      </c>
      <c r="F64">
        <v>1.50345</v>
      </c>
      <c r="G64">
        <v>0.72898664599999996</v>
      </c>
      <c r="H64" t="s">
        <v>9</v>
      </c>
      <c r="I64">
        <v>0.51374447300000003</v>
      </c>
      <c r="J64">
        <v>-3.7241152E-2</v>
      </c>
      <c r="K64">
        <v>2.8807797E-2</v>
      </c>
      <c r="L64">
        <v>4.1448599999999999E-4</v>
      </c>
      <c r="M64">
        <v>-6.7705966000000006E-2</v>
      </c>
      <c r="N64">
        <v>0</v>
      </c>
      <c r="O64" t="str">
        <f t="shared" si="0"/>
        <v>Unstable</v>
      </c>
      <c r="P64" t="str">
        <f t="shared" si="1"/>
        <v>Stable</v>
      </c>
    </row>
    <row r="65" spans="1:16" x14ac:dyDescent="0.25">
      <c r="A65">
        <v>930</v>
      </c>
      <c r="B65" t="s">
        <v>136</v>
      </c>
      <c r="C65" t="s">
        <v>137</v>
      </c>
      <c r="D65">
        <v>83.84</v>
      </c>
      <c r="E65">
        <v>13</v>
      </c>
      <c r="F65">
        <v>1.0079100000000001</v>
      </c>
      <c r="G65">
        <v>0.73055773800000001</v>
      </c>
      <c r="H65" t="s">
        <v>9</v>
      </c>
      <c r="I65">
        <v>0.57289957999999996</v>
      </c>
      <c r="J65">
        <v>-3.6196348000000003E-2</v>
      </c>
      <c r="K65">
        <v>0.188967617</v>
      </c>
      <c r="L65">
        <v>-0.100315418</v>
      </c>
      <c r="M65">
        <v>-6.9025579000000004E-2</v>
      </c>
      <c r="N65">
        <v>0</v>
      </c>
      <c r="O65" t="str">
        <f t="shared" si="0"/>
        <v>Unstable</v>
      </c>
      <c r="P65" t="str">
        <f t="shared" si="1"/>
        <v>Stable</v>
      </c>
    </row>
    <row r="66" spans="1:16" x14ac:dyDescent="0.25">
      <c r="A66">
        <v>933</v>
      </c>
      <c r="B66" t="s">
        <v>138</v>
      </c>
      <c r="C66" t="s">
        <v>139</v>
      </c>
      <c r="D66">
        <v>82.47</v>
      </c>
      <c r="E66">
        <v>9</v>
      </c>
      <c r="F66">
        <v>-0.54985099999999998</v>
      </c>
      <c r="G66">
        <v>0.73291437500000001</v>
      </c>
      <c r="H66" t="s">
        <v>9</v>
      </c>
      <c r="I66">
        <v>0.44472700399999998</v>
      </c>
      <c r="J66">
        <v>-1.7829741E-2</v>
      </c>
      <c r="K66">
        <v>6.0291087E-2</v>
      </c>
      <c r="L66">
        <v>-0.11109042199999999</v>
      </c>
      <c r="M66">
        <v>-7.6113229000000004E-2</v>
      </c>
      <c r="N66">
        <v>0</v>
      </c>
      <c r="O66" t="str">
        <f t="shared" si="0"/>
        <v>Stable</v>
      </c>
      <c r="P66" t="str">
        <f t="shared" si="1"/>
        <v>Stable</v>
      </c>
    </row>
    <row r="67" spans="1:16" x14ac:dyDescent="0.25">
      <c r="A67">
        <v>937</v>
      </c>
      <c r="B67" t="s">
        <v>140</v>
      </c>
      <c r="C67" t="s">
        <v>141</v>
      </c>
      <c r="D67">
        <v>73.02</v>
      </c>
      <c r="E67">
        <v>14</v>
      </c>
      <c r="F67">
        <v>-0.64322100000000004</v>
      </c>
      <c r="G67">
        <v>0.736056559</v>
      </c>
      <c r="H67" t="s">
        <v>9</v>
      </c>
      <c r="I67">
        <v>0.63394761099999997</v>
      </c>
      <c r="J67">
        <v>-2.6078868000000002E-2</v>
      </c>
      <c r="K67">
        <v>0.226602476</v>
      </c>
      <c r="L67">
        <v>-9.1587270999999998E-2</v>
      </c>
      <c r="M67">
        <v>-6.4458034999999997E-2</v>
      </c>
      <c r="N67">
        <v>0</v>
      </c>
      <c r="O67" t="str">
        <f t="shared" ref="O67:O103" si="2">IF(F67&gt;0,"Unstable","Stable")</f>
        <v>Stable</v>
      </c>
      <c r="P67" t="str">
        <f t="shared" ref="P67:P103" si="3">IF(G67&gt;0,"Stable","Unstable")</f>
        <v>Stable</v>
      </c>
    </row>
    <row r="68" spans="1:16" x14ac:dyDescent="0.25">
      <c r="A68">
        <v>946</v>
      </c>
      <c r="B68" t="s">
        <v>142</v>
      </c>
      <c r="C68" t="s">
        <v>143</v>
      </c>
      <c r="D68">
        <v>71.62</v>
      </c>
      <c r="E68">
        <v>7</v>
      </c>
      <c r="F68">
        <v>9.8653400000000002E-2</v>
      </c>
      <c r="G68">
        <v>0.74312647300000001</v>
      </c>
      <c r="H68" t="s">
        <v>15</v>
      </c>
      <c r="I68">
        <v>0.26243218800000001</v>
      </c>
      <c r="J68">
        <v>-5.3201556999999997E-2</v>
      </c>
      <c r="K68">
        <v>-5.1833854999999998E-2</v>
      </c>
      <c r="L68">
        <v>-0.117849363</v>
      </c>
      <c r="M68">
        <v>-0.10415234499999999</v>
      </c>
      <c r="N68">
        <v>0</v>
      </c>
      <c r="O68" t="str">
        <f t="shared" si="2"/>
        <v>Unstable</v>
      </c>
      <c r="P68" t="str">
        <f t="shared" si="3"/>
        <v>Stable</v>
      </c>
    </row>
    <row r="69" spans="1:16" x14ac:dyDescent="0.25">
      <c r="A69">
        <v>949</v>
      </c>
      <c r="B69" t="s">
        <v>144</v>
      </c>
      <c r="C69" t="s">
        <v>145</v>
      </c>
      <c r="D69">
        <v>72.5</v>
      </c>
      <c r="E69">
        <v>15</v>
      </c>
      <c r="F69">
        <v>0.86019299999999999</v>
      </c>
      <c r="G69">
        <v>0.74548311099999998</v>
      </c>
      <c r="H69" t="s">
        <v>9</v>
      </c>
      <c r="I69">
        <v>0.64530611000000004</v>
      </c>
      <c r="J69">
        <v>-1.2232715E-2</v>
      </c>
      <c r="K69">
        <v>0.23278436499999999</v>
      </c>
      <c r="L69">
        <v>-0.10577942899999999</v>
      </c>
      <c r="M69">
        <v>-5.8935419000000003E-2</v>
      </c>
      <c r="N69">
        <v>0</v>
      </c>
      <c r="O69" t="str">
        <f t="shared" si="2"/>
        <v>Unstable</v>
      </c>
      <c r="P69" t="str">
        <f t="shared" si="3"/>
        <v>Stable</v>
      </c>
    </row>
    <row r="70" spans="1:16" x14ac:dyDescent="0.25">
      <c r="A70">
        <v>951</v>
      </c>
      <c r="B70" t="s">
        <v>146</v>
      </c>
      <c r="C70" t="s">
        <v>147</v>
      </c>
      <c r="D70">
        <v>75.709999999999994</v>
      </c>
      <c r="E70">
        <v>8</v>
      </c>
      <c r="F70">
        <v>1.3857900000000001</v>
      </c>
      <c r="G70">
        <v>0.74705420300000003</v>
      </c>
      <c r="H70" t="s">
        <v>9</v>
      </c>
      <c r="I70">
        <v>0.67518830299999999</v>
      </c>
      <c r="J70">
        <v>-1.18844E-4</v>
      </c>
      <c r="K70">
        <v>0.11941634299999999</v>
      </c>
      <c r="L70">
        <v>2.222617E-2</v>
      </c>
      <c r="M70">
        <v>-5.5804674999999998E-2</v>
      </c>
      <c r="N70">
        <v>0</v>
      </c>
      <c r="O70" t="str">
        <f t="shared" si="2"/>
        <v>Unstable</v>
      </c>
      <c r="P70" t="str">
        <f t="shared" si="3"/>
        <v>Stable</v>
      </c>
    </row>
    <row r="71" spans="1:16" x14ac:dyDescent="0.25">
      <c r="A71">
        <v>952</v>
      </c>
      <c r="B71" t="s">
        <v>148</v>
      </c>
      <c r="C71" t="s">
        <v>149</v>
      </c>
      <c r="D71">
        <v>73.88</v>
      </c>
      <c r="E71">
        <v>12</v>
      </c>
      <c r="F71">
        <v>-0.89136499999999996</v>
      </c>
      <c r="G71">
        <v>0.74783974900000005</v>
      </c>
      <c r="H71" t="s">
        <v>9</v>
      </c>
      <c r="I71">
        <v>0.431382716</v>
      </c>
      <c r="J71">
        <v>-4.8746201000000003E-2</v>
      </c>
      <c r="K71">
        <v>0.116989291</v>
      </c>
      <c r="L71">
        <v>-0.13828221299999999</v>
      </c>
      <c r="M71">
        <v>-8.8047469000000003E-2</v>
      </c>
      <c r="N71">
        <v>0</v>
      </c>
      <c r="O71" t="str">
        <f t="shared" si="2"/>
        <v>Stable</v>
      </c>
      <c r="P71" t="str">
        <f t="shared" si="3"/>
        <v>Stable</v>
      </c>
    </row>
    <row r="72" spans="1:16" x14ac:dyDescent="0.25">
      <c r="A72">
        <v>953</v>
      </c>
      <c r="B72" t="s">
        <v>150</v>
      </c>
      <c r="C72" t="s">
        <v>151</v>
      </c>
      <c r="D72">
        <v>71.59</v>
      </c>
      <c r="E72">
        <v>11</v>
      </c>
      <c r="F72">
        <v>-0.68524099999999999</v>
      </c>
      <c r="G72">
        <v>0.74862529499999997</v>
      </c>
      <c r="H72" t="s">
        <v>9</v>
      </c>
      <c r="I72">
        <v>0.37579879199999999</v>
      </c>
      <c r="J72">
        <v>-3.6510783999999998E-2</v>
      </c>
      <c r="K72">
        <v>3.4531455000000003E-2</v>
      </c>
      <c r="L72">
        <v>-0.124473417</v>
      </c>
      <c r="M72">
        <v>-8.7217770999999999E-2</v>
      </c>
      <c r="N72">
        <v>0</v>
      </c>
      <c r="O72" t="str">
        <f t="shared" si="2"/>
        <v>Stable</v>
      </c>
      <c r="P72" t="str">
        <f t="shared" si="3"/>
        <v>Stable</v>
      </c>
    </row>
    <row r="73" spans="1:16" x14ac:dyDescent="0.25">
      <c r="A73">
        <v>954</v>
      </c>
      <c r="B73" t="s">
        <v>152</v>
      </c>
      <c r="C73" t="s">
        <v>153</v>
      </c>
      <c r="D73">
        <v>75.22</v>
      </c>
      <c r="E73">
        <v>14</v>
      </c>
      <c r="F73">
        <v>-0.120527</v>
      </c>
      <c r="G73">
        <v>0.74941084099999999</v>
      </c>
      <c r="H73" t="s">
        <v>9</v>
      </c>
      <c r="I73">
        <v>0.57864785200000002</v>
      </c>
      <c r="J73">
        <v>-3.6056553999999998E-2</v>
      </c>
      <c r="K73">
        <v>0.215328399</v>
      </c>
      <c r="L73">
        <v>-0.12841224300000001</v>
      </c>
      <c r="M73">
        <v>-6.1681059000000003E-2</v>
      </c>
      <c r="N73">
        <v>1</v>
      </c>
      <c r="O73" t="str">
        <f t="shared" si="2"/>
        <v>Stable</v>
      </c>
      <c r="P73" t="str">
        <f t="shared" si="3"/>
        <v>Stable</v>
      </c>
    </row>
    <row r="74" spans="1:16" x14ac:dyDescent="0.25">
      <c r="A74">
        <v>955</v>
      </c>
      <c r="B74" t="s">
        <v>154</v>
      </c>
      <c r="C74" t="s">
        <v>155</v>
      </c>
      <c r="D74">
        <v>78.11</v>
      </c>
      <c r="E74">
        <v>16</v>
      </c>
      <c r="F74">
        <v>0.524011</v>
      </c>
      <c r="G74">
        <v>0.75019638600000005</v>
      </c>
      <c r="H74" t="s">
        <v>9</v>
      </c>
      <c r="I74">
        <v>0.65180623500000001</v>
      </c>
      <c r="J74">
        <v>-1.9857403999999999E-2</v>
      </c>
      <c r="K74">
        <v>0.22846060000000001</v>
      </c>
      <c r="L74">
        <v>-8.2986836999999994E-2</v>
      </c>
      <c r="M74">
        <v>-6.3279431999999997E-2</v>
      </c>
      <c r="N74">
        <v>0</v>
      </c>
      <c r="O74" t="str">
        <f t="shared" si="2"/>
        <v>Unstable</v>
      </c>
      <c r="P74" t="str">
        <f t="shared" si="3"/>
        <v>Stable</v>
      </c>
    </row>
    <row r="75" spans="1:16" x14ac:dyDescent="0.25">
      <c r="A75">
        <v>956</v>
      </c>
      <c r="B75" t="s">
        <v>156</v>
      </c>
      <c r="C75" t="s">
        <v>157</v>
      </c>
      <c r="D75">
        <v>71.06</v>
      </c>
      <c r="E75">
        <v>9</v>
      </c>
      <c r="F75">
        <v>0.91458200000000001</v>
      </c>
      <c r="G75">
        <v>0.75098193199999996</v>
      </c>
      <c r="H75" t="s">
        <v>9</v>
      </c>
      <c r="I75">
        <v>0.409359902</v>
      </c>
      <c r="J75">
        <v>-9.8557460000000003E-3</v>
      </c>
      <c r="K75">
        <v>5.751908E-2</v>
      </c>
      <c r="L75">
        <v>-0.148045594</v>
      </c>
      <c r="M75">
        <v>-7.9727146999999998E-2</v>
      </c>
      <c r="N75">
        <v>0</v>
      </c>
      <c r="O75" t="str">
        <f t="shared" si="2"/>
        <v>Unstable</v>
      </c>
      <c r="P75" t="str">
        <f t="shared" si="3"/>
        <v>Stable</v>
      </c>
    </row>
    <row r="76" spans="1:16" x14ac:dyDescent="0.25">
      <c r="A76">
        <v>958</v>
      </c>
      <c r="B76" t="s">
        <v>158</v>
      </c>
      <c r="C76" t="s">
        <v>159</v>
      </c>
      <c r="D76">
        <v>80.25</v>
      </c>
      <c r="E76">
        <v>10</v>
      </c>
      <c r="F76">
        <v>0.91314899999999999</v>
      </c>
      <c r="G76">
        <v>0.75255302400000001</v>
      </c>
      <c r="H76" t="s">
        <v>9</v>
      </c>
      <c r="I76">
        <v>0.36029982599999999</v>
      </c>
      <c r="J76">
        <v>-9.0571019999999992E-3</v>
      </c>
      <c r="K76">
        <v>2.6112149000000001E-2</v>
      </c>
      <c r="L76">
        <v>-0.15568613000000001</v>
      </c>
      <c r="M76">
        <v>-9.0538401000000004E-2</v>
      </c>
      <c r="N76">
        <v>0</v>
      </c>
      <c r="O76" t="str">
        <f t="shared" si="2"/>
        <v>Unstable</v>
      </c>
      <c r="P76" t="str">
        <f t="shared" si="3"/>
        <v>Stable</v>
      </c>
    </row>
    <row r="77" spans="1:16" x14ac:dyDescent="0.25">
      <c r="A77">
        <v>959</v>
      </c>
      <c r="B77" t="s">
        <v>160</v>
      </c>
      <c r="C77" t="s">
        <v>161</v>
      </c>
      <c r="D77">
        <v>81.56</v>
      </c>
      <c r="E77">
        <v>8</v>
      </c>
      <c r="F77">
        <v>1.3156399999999999</v>
      </c>
      <c r="G77">
        <v>0.75333857000000004</v>
      </c>
      <c r="H77" t="s">
        <v>9</v>
      </c>
      <c r="I77">
        <v>0.64991563600000002</v>
      </c>
      <c r="J77">
        <v>-1.4822899999999999E-4</v>
      </c>
      <c r="K77">
        <v>0.116492058</v>
      </c>
      <c r="L77">
        <v>1.9871586E-2</v>
      </c>
      <c r="M77">
        <v>-7.5769086999999999E-2</v>
      </c>
      <c r="N77">
        <v>0</v>
      </c>
      <c r="O77" t="str">
        <f t="shared" si="2"/>
        <v>Unstable</v>
      </c>
      <c r="P77" t="str">
        <f t="shared" si="3"/>
        <v>Stable</v>
      </c>
    </row>
    <row r="78" spans="1:16" x14ac:dyDescent="0.25">
      <c r="A78">
        <v>960</v>
      </c>
      <c r="B78" t="s">
        <v>162</v>
      </c>
      <c r="C78" t="s">
        <v>163</v>
      </c>
      <c r="D78">
        <v>76.42</v>
      </c>
      <c r="E78">
        <v>12</v>
      </c>
      <c r="F78">
        <v>0.40533799999999998</v>
      </c>
      <c r="G78">
        <v>0.75412411599999996</v>
      </c>
      <c r="H78" t="s">
        <v>9</v>
      </c>
      <c r="I78">
        <v>0.422658056</v>
      </c>
      <c r="J78">
        <v>-4.2534654999999998E-2</v>
      </c>
      <c r="K78">
        <v>0.101643608</v>
      </c>
      <c r="L78">
        <v>-0.12611587299999999</v>
      </c>
      <c r="M78">
        <v>-9.9804331999999996E-2</v>
      </c>
      <c r="N78">
        <v>0</v>
      </c>
      <c r="O78" t="str">
        <f t="shared" si="2"/>
        <v>Unstable</v>
      </c>
      <c r="P78" t="str">
        <f t="shared" si="3"/>
        <v>Stable</v>
      </c>
    </row>
    <row r="79" spans="1:16" x14ac:dyDescent="0.25">
      <c r="A79">
        <v>969</v>
      </c>
      <c r="B79" t="s">
        <v>164</v>
      </c>
      <c r="C79" t="s">
        <v>165</v>
      </c>
      <c r="D79">
        <v>89.63</v>
      </c>
      <c r="E79">
        <v>5</v>
      </c>
      <c r="F79">
        <v>-5.8728900000000001E-2</v>
      </c>
      <c r="G79">
        <v>0.76119402999999997</v>
      </c>
      <c r="H79" t="s">
        <v>12</v>
      </c>
      <c r="I79">
        <v>0.193813771</v>
      </c>
      <c r="J79">
        <v>-5.7324131E-2</v>
      </c>
      <c r="K79">
        <v>-6.6056881999999997E-2</v>
      </c>
      <c r="L79">
        <v>-0.15550756499999999</v>
      </c>
      <c r="M79">
        <v>-0.116766959</v>
      </c>
      <c r="N79">
        <v>1</v>
      </c>
      <c r="O79" t="str">
        <f t="shared" si="2"/>
        <v>Stable</v>
      </c>
      <c r="P79" t="str">
        <f t="shared" si="3"/>
        <v>Stable</v>
      </c>
    </row>
    <row r="80" spans="1:16" x14ac:dyDescent="0.25">
      <c r="A80">
        <v>971</v>
      </c>
      <c r="B80" t="s">
        <v>166</v>
      </c>
      <c r="C80" t="s">
        <v>167</v>
      </c>
      <c r="D80">
        <v>89.24</v>
      </c>
      <c r="E80">
        <v>1</v>
      </c>
      <c r="F80">
        <v>4.4747500000000002</v>
      </c>
      <c r="G80">
        <v>0.76276512200000002</v>
      </c>
      <c r="H80" t="s">
        <v>9</v>
      </c>
      <c r="I80">
        <v>0.57330703699999996</v>
      </c>
      <c r="J80">
        <v>-3.6353888000000001E-2</v>
      </c>
      <c r="K80">
        <v>-9.4068119000000006E-2</v>
      </c>
      <c r="L80">
        <v>0.199937631</v>
      </c>
      <c r="M80">
        <v>-8.5677896000000003E-2</v>
      </c>
      <c r="N80">
        <v>0</v>
      </c>
      <c r="O80" t="str">
        <f t="shared" si="2"/>
        <v>Unstable</v>
      </c>
      <c r="P80" t="str">
        <f t="shared" si="3"/>
        <v>Stable</v>
      </c>
    </row>
    <row r="81" spans="1:16" x14ac:dyDescent="0.25">
      <c r="A81">
        <v>985</v>
      </c>
      <c r="B81" t="s">
        <v>168</v>
      </c>
      <c r="C81" t="s">
        <v>169</v>
      </c>
      <c r="D81">
        <v>90.36</v>
      </c>
      <c r="E81">
        <v>3</v>
      </c>
      <c r="F81">
        <v>0.95205899999999999</v>
      </c>
      <c r="G81">
        <v>0.77376276499999996</v>
      </c>
      <c r="H81" t="s">
        <v>12</v>
      </c>
      <c r="I81">
        <v>0.15254986300000001</v>
      </c>
      <c r="J81">
        <v>-1.9992777E-2</v>
      </c>
      <c r="K81">
        <v>-0.150292389</v>
      </c>
      <c r="L81">
        <v>-0.16694725599999999</v>
      </c>
      <c r="M81">
        <v>-9.9687023E-2</v>
      </c>
      <c r="N81">
        <v>0</v>
      </c>
      <c r="O81" t="str">
        <f t="shared" si="2"/>
        <v>Unstable</v>
      </c>
      <c r="P81" t="str">
        <f t="shared" si="3"/>
        <v>Stable</v>
      </c>
    </row>
    <row r="82" spans="1:16" x14ac:dyDescent="0.25">
      <c r="A82">
        <v>1000</v>
      </c>
      <c r="B82" t="s">
        <v>170</v>
      </c>
      <c r="C82" t="s">
        <v>171</v>
      </c>
      <c r="D82">
        <v>93.3</v>
      </c>
      <c r="E82">
        <v>10</v>
      </c>
      <c r="F82">
        <v>3.3095500000000002</v>
      </c>
      <c r="G82">
        <v>0.78554595400000005</v>
      </c>
      <c r="H82" t="s">
        <v>9</v>
      </c>
      <c r="I82">
        <v>0.71852081999999995</v>
      </c>
      <c r="J82">
        <v>6.5724093999999997E-2</v>
      </c>
      <c r="K82">
        <v>3.1644448999999998E-2</v>
      </c>
      <c r="L82">
        <v>0.112032652</v>
      </c>
      <c r="M82">
        <v>-8.0349683000000005E-2</v>
      </c>
      <c r="N82">
        <v>0</v>
      </c>
      <c r="O82" t="str">
        <f t="shared" si="2"/>
        <v>Unstable</v>
      </c>
      <c r="P82" t="str">
        <f t="shared" si="3"/>
        <v>Stable</v>
      </c>
    </row>
    <row r="83" spans="1:16" x14ac:dyDescent="0.25">
      <c r="A83">
        <v>1005</v>
      </c>
      <c r="B83" t="s">
        <v>172</v>
      </c>
      <c r="C83" t="s">
        <v>173</v>
      </c>
      <c r="D83">
        <v>92.4</v>
      </c>
      <c r="E83">
        <v>10</v>
      </c>
      <c r="F83">
        <v>1.6898500000000001</v>
      </c>
      <c r="G83">
        <v>0.78947368399999995</v>
      </c>
      <c r="H83" t="s">
        <v>9</v>
      </c>
      <c r="I83">
        <v>0.50240051699999999</v>
      </c>
      <c r="J83">
        <v>-3.1676303000000003E-2</v>
      </c>
      <c r="K83">
        <v>2.4122623999999999E-2</v>
      </c>
      <c r="L83">
        <v>2.5040316999999999E-2</v>
      </c>
      <c r="M83">
        <v>-0.10455542900000001</v>
      </c>
      <c r="N83">
        <v>0</v>
      </c>
      <c r="O83" t="str">
        <f t="shared" si="2"/>
        <v>Unstable</v>
      </c>
      <c r="P83" t="str">
        <f t="shared" si="3"/>
        <v>Stable</v>
      </c>
    </row>
    <row r="84" spans="1:16" x14ac:dyDescent="0.25">
      <c r="A84">
        <v>1019</v>
      </c>
      <c r="B84" t="s">
        <v>174</v>
      </c>
      <c r="C84" t="s">
        <v>175</v>
      </c>
      <c r="D84">
        <v>94.25</v>
      </c>
      <c r="E84">
        <v>19</v>
      </c>
      <c r="F84">
        <v>-0.24315400000000001</v>
      </c>
      <c r="G84">
        <v>0.80047132799999998</v>
      </c>
      <c r="H84" t="s">
        <v>9</v>
      </c>
      <c r="I84">
        <v>0.73856651799999995</v>
      </c>
      <c r="J84">
        <v>0.112232232</v>
      </c>
      <c r="K84">
        <v>0.24908886799999999</v>
      </c>
      <c r="L84">
        <v>-0.13209009099999999</v>
      </c>
      <c r="M84">
        <v>-8.0133800000000005E-2</v>
      </c>
      <c r="N84">
        <v>0</v>
      </c>
      <c r="O84" t="str">
        <f t="shared" si="2"/>
        <v>Stable</v>
      </c>
      <c r="P84" t="str">
        <f t="shared" si="3"/>
        <v>Stable</v>
      </c>
    </row>
    <row r="85" spans="1:16" x14ac:dyDescent="0.25">
      <c r="A85">
        <v>1021</v>
      </c>
      <c r="B85" t="s">
        <v>176</v>
      </c>
      <c r="C85" t="s">
        <v>177</v>
      </c>
      <c r="D85">
        <v>93.86</v>
      </c>
      <c r="E85">
        <v>10</v>
      </c>
      <c r="F85">
        <v>-2.4562400000000002</v>
      </c>
      <c r="G85">
        <v>0.80204241899999995</v>
      </c>
      <c r="H85" t="s">
        <v>9</v>
      </c>
      <c r="I85">
        <v>0.62650048700000005</v>
      </c>
      <c r="J85">
        <v>0.107003813</v>
      </c>
      <c r="K85">
        <v>5.2965910999999997E-2</v>
      </c>
      <c r="L85">
        <v>-2.3664297000000001E-2</v>
      </c>
      <c r="M85">
        <v>-9.9274247999999995E-2</v>
      </c>
      <c r="N85">
        <v>0</v>
      </c>
      <c r="O85" t="str">
        <f t="shared" si="2"/>
        <v>Stable</v>
      </c>
      <c r="P85" t="str">
        <f t="shared" si="3"/>
        <v>Stable</v>
      </c>
    </row>
    <row r="86" spans="1:16" x14ac:dyDescent="0.25">
      <c r="A86">
        <v>1030</v>
      </c>
      <c r="B86" t="s">
        <v>178</v>
      </c>
      <c r="C86" t="s">
        <v>179</v>
      </c>
      <c r="D86">
        <v>88.01</v>
      </c>
      <c r="E86">
        <v>8</v>
      </c>
      <c r="F86">
        <v>-0.30608800000000003</v>
      </c>
      <c r="G86">
        <v>0.80911233299999996</v>
      </c>
      <c r="H86" t="s">
        <v>15</v>
      </c>
      <c r="I86">
        <v>0.26207894100000001</v>
      </c>
      <c r="J86">
        <v>-5.5366985000000001E-2</v>
      </c>
      <c r="K86">
        <v>6.8010123000000006E-2</v>
      </c>
      <c r="L86">
        <v>-0.223062914</v>
      </c>
      <c r="M86">
        <v>-0.116970592</v>
      </c>
      <c r="N86">
        <v>0</v>
      </c>
      <c r="O86" t="str">
        <f t="shared" si="2"/>
        <v>Stable</v>
      </c>
      <c r="P86" t="str">
        <f t="shared" si="3"/>
        <v>Stable</v>
      </c>
    </row>
    <row r="87" spans="1:16" x14ac:dyDescent="0.25">
      <c r="A87">
        <v>1042</v>
      </c>
      <c r="B87" t="s">
        <v>180</v>
      </c>
      <c r="C87" t="s">
        <v>181</v>
      </c>
      <c r="D87">
        <v>91.37</v>
      </c>
      <c r="E87">
        <v>7</v>
      </c>
      <c r="F87">
        <v>3.5331399999999999</v>
      </c>
      <c r="G87">
        <v>0.81853888500000005</v>
      </c>
      <c r="H87" t="s">
        <v>9</v>
      </c>
      <c r="I87">
        <v>0.52753156400000001</v>
      </c>
      <c r="J87">
        <v>8.3906989999999997E-3</v>
      </c>
      <c r="K87">
        <v>-4.6370829000000002E-2</v>
      </c>
      <c r="L87">
        <v>7.4607747000000002E-2</v>
      </c>
      <c r="M87">
        <v>-9.8565361000000004E-2</v>
      </c>
      <c r="N87">
        <v>0</v>
      </c>
      <c r="O87" t="str">
        <f t="shared" si="2"/>
        <v>Unstable</v>
      </c>
      <c r="P87" t="str">
        <f t="shared" si="3"/>
        <v>Stable</v>
      </c>
    </row>
    <row r="88" spans="1:16" x14ac:dyDescent="0.25">
      <c r="A88">
        <v>1044</v>
      </c>
      <c r="B88" t="s">
        <v>182</v>
      </c>
      <c r="C88" t="s">
        <v>183</v>
      </c>
      <c r="D88">
        <v>85.11</v>
      </c>
      <c r="E88">
        <v>0</v>
      </c>
      <c r="F88">
        <v>15.8637</v>
      </c>
      <c r="G88">
        <v>0.82010997600000002</v>
      </c>
      <c r="H88" t="s">
        <v>9</v>
      </c>
      <c r="I88">
        <v>0.659417272</v>
      </c>
      <c r="J88">
        <v>1.192743E-3</v>
      </c>
      <c r="K88">
        <v>-0.14851431600000001</v>
      </c>
      <c r="L88">
        <v>0.28577447099999997</v>
      </c>
      <c r="M88">
        <v>-6.8504935000000003E-2</v>
      </c>
      <c r="N88">
        <v>0</v>
      </c>
      <c r="O88" t="str">
        <f t="shared" si="2"/>
        <v>Unstable</v>
      </c>
      <c r="P88" t="str">
        <f t="shared" si="3"/>
        <v>Stable</v>
      </c>
    </row>
    <row r="89" spans="1:16" x14ac:dyDescent="0.25">
      <c r="A89">
        <v>1057</v>
      </c>
      <c r="B89" t="s">
        <v>184</v>
      </c>
      <c r="C89" t="s">
        <v>185</v>
      </c>
      <c r="D89">
        <v>81.39</v>
      </c>
      <c r="E89">
        <v>2</v>
      </c>
      <c r="F89">
        <v>4.9926000000000004</v>
      </c>
      <c r="G89">
        <v>0.83032207400000002</v>
      </c>
      <c r="H89" t="s">
        <v>9</v>
      </c>
      <c r="I89">
        <v>0.74912011599999995</v>
      </c>
      <c r="J89">
        <v>1.3993695E-2</v>
      </c>
      <c r="K89">
        <v>-6.8385393000000003E-2</v>
      </c>
      <c r="L89">
        <v>0.26399526699999998</v>
      </c>
      <c r="M89">
        <v>-4.9952759999999999E-2</v>
      </c>
      <c r="N89">
        <v>0</v>
      </c>
      <c r="O89" t="str">
        <f t="shared" si="2"/>
        <v>Unstable</v>
      </c>
      <c r="P89" t="str">
        <f t="shared" si="3"/>
        <v>Stable</v>
      </c>
    </row>
    <row r="90" spans="1:16" x14ac:dyDescent="0.25">
      <c r="A90">
        <v>1068</v>
      </c>
      <c r="B90" t="s">
        <v>186</v>
      </c>
      <c r="C90" t="s">
        <v>187</v>
      </c>
      <c r="D90">
        <v>88.23</v>
      </c>
      <c r="E90">
        <v>6</v>
      </c>
      <c r="F90">
        <v>2.0782799999999999</v>
      </c>
      <c r="G90">
        <v>0.838963079</v>
      </c>
      <c r="H90" t="s">
        <v>9</v>
      </c>
      <c r="I90">
        <v>0.605368197</v>
      </c>
      <c r="J90">
        <v>-1.391403E-3</v>
      </c>
      <c r="K90">
        <v>-1.4442419999999999E-2</v>
      </c>
      <c r="L90">
        <v>8.8499406000000003E-2</v>
      </c>
      <c r="M90">
        <v>-5.6766694999999999E-2</v>
      </c>
      <c r="N90">
        <v>0</v>
      </c>
      <c r="O90" t="str">
        <f t="shared" si="2"/>
        <v>Unstable</v>
      </c>
      <c r="P90" t="str">
        <f t="shared" si="3"/>
        <v>Stable</v>
      </c>
    </row>
    <row r="91" spans="1:16" x14ac:dyDescent="0.25">
      <c r="A91">
        <v>1077</v>
      </c>
      <c r="B91" t="s">
        <v>188</v>
      </c>
      <c r="C91" t="s">
        <v>189</v>
      </c>
      <c r="D91">
        <v>89.21</v>
      </c>
      <c r="E91">
        <v>8</v>
      </c>
      <c r="F91">
        <v>-1.1394299999999999</v>
      </c>
      <c r="G91">
        <v>0.84603299300000001</v>
      </c>
      <c r="H91" t="s">
        <v>9</v>
      </c>
      <c r="I91">
        <v>0.56475180400000002</v>
      </c>
      <c r="J91">
        <v>-1.9235384000000001E-2</v>
      </c>
      <c r="K91">
        <v>0.10396636300000001</v>
      </c>
      <c r="L91">
        <v>-7.4162533000000003E-2</v>
      </c>
      <c r="M91">
        <v>-3.5285951000000003E-2</v>
      </c>
      <c r="N91">
        <v>0</v>
      </c>
      <c r="O91" t="str">
        <f t="shared" si="2"/>
        <v>Stable</v>
      </c>
      <c r="P91" t="str">
        <f t="shared" si="3"/>
        <v>Stable</v>
      </c>
    </row>
    <row r="92" spans="1:16" x14ac:dyDescent="0.25">
      <c r="A92">
        <v>1080</v>
      </c>
      <c r="B92" t="s">
        <v>190</v>
      </c>
      <c r="C92" t="s">
        <v>191</v>
      </c>
      <c r="D92">
        <v>87</v>
      </c>
      <c r="E92">
        <v>5</v>
      </c>
      <c r="F92">
        <v>2.2579899999999999</v>
      </c>
      <c r="G92">
        <v>0.84838963099999998</v>
      </c>
      <c r="H92" t="s">
        <v>9</v>
      </c>
      <c r="I92">
        <v>0.58266848299999996</v>
      </c>
      <c r="J92">
        <v>5.3903450000000004E-3</v>
      </c>
      <c r="K92">
        <v>-3.8558678999999998E-2</v>
      </c>
      <c r="L92">
        <v>8.3835160000000006E-2</v>
      </c>
      <c r="M92">
        <v>-5.7467651000000002E-2</v>
      </c>
      <c r="N92">
        <v>0</v>
      </c>
      <c r="O92" t="str">
        <f t="shared" si="2"/>
        <v>Unstable</v>
      </c>
      <c r="P92" t="str">
        <f t="shared" si="3"/>
        <v>Stable</v>
      </c>
    </row>
    <row r="93" spans="1:16" x14ac:dyDescent="0.25">
      <c r="A93">
        <v>1090</v>
      </c>
      <c r="B93" t="s">
        <v>192</v>
      </c>
      <c r="C93" t="s">
        <v>193</v>
      </c>
      <c r="D93">
        <v>89.51</v>
      </c>
      <c r="E93">
        <v>4</v>
      </c>
      <c r="F93">
        <v>4.7288399999999999</v>
      </c>
      <c r="G93">
        <v>0.85624509000000004</v>
      </c>
      <c r="H93" t="s">
        <v>9</v>
      </c>
      <c r="I93">
        <v>0.79418546000000001</v>
      </c>
      <c r="J93">
        <v>1.3678799999999999E-3</v>
      </c>
      <c r="K93">
        <v>-5.9657056999999999E-2</v>
      </c>
      <c r="L93">
        <v>0.28263270499999998</v>
      </c>
      <c r="M93">
        <v>-1.9627378000000001E-2</v>
      </c>
      <c r="N93">
        <v>0</v>
      </c>
      <c r="O93" t="str">
        <f t="shared" si="2"/>
        <v>Unstable</v>
      </c>
      <c r="P93" t="str">
        <f t="shared" si="3"/>
        <v>Stable</v>
      </c>
    </row>
    <row r="94" spans="1:16" x14ac:dyDescent="0.25">
      <c r="A94">
        <v>1100</v>
      </c>
      <c r="B94" t="s">
        <v>194</v>
      </c>
      <c r="C94" t="s">
        <v>195</v>
      </c>
      <c r="D94">
        <v>81.31</v>
      </c>
      <c r="E94">
        <v>0</v>
      </c>
      <c r="F94">
        <v>-0.32245600000000002</v>
      </c>
      <c r="G94">
        <v>0.86410054999999997</v>
      </c>
      <c r="H94" t="s">
        <v>12</v>
      </c>
      <c r="I94">
        <v>0.13576343699999999</v>
      </c>
      <c r="J94">
        <v>-2.9587453999999999E-2</v>
      </c>
      <c r="K94">
        <v>-0.18145576399999999</v>
      </c>
      <c r="L94">
        <v>-0.193534293</v>
      </c>
      <c r="M94">
        <v>-4.9128361000000002E-2</v>
      </c>
      <c r="N94">
        <v>0</v>
      </c>
      <c r="O94" t="str">
        <f t="shared" si="2"/>
        <v>Stable</v>
      </c>
      <c r="P94" t="str">
        <f t="shared" si="3"/>
        <v>Stable</v>
      </c>
    </row>
    <row r="95" spans="1:16" x14ac:dyDescent="0.25">
      <c r="A95">
        <v>1102</v>
      </c>
      <c r="B95" t="s">
        <v>196</v>
      </c>
      <c r="C95" t="s">
        <v>197</v>
      </c>
      <c r="D95">
        <v>89.08</v>
      </c>
      <c r="E95">
        <v>12</v>
      </c>
      <c r="F95">
        <v>2.8385899999999999</v>
      </c>
      <c r="G95">
        <v>0.86567164200000002</v>
      </c>
      <c r="H95" t="s">
        <v>9</v>
      </c>
      <c r="I95">
        <v>0.74613654600000001</v>
      </c>
      <c r="J95">
        <v>-1.6511787999999999E-2</v>
      </c>
      <c r="K95">
        <v>0.107103714</v>
      </c>
      <c r="L95">
        <v>5.6997213999999997E-2</v>
      </c>
      <c r="M95">
        <v>9.0780979999999997E-3</v>
      </c>
      <c r="N95">
        <v>0</v>
      </c>
      <c r="O95" t="str">
        <f t="shared" si="2"/>
        <v>Unstable</v>
      </c>
      <c r="P95" t="str">
        <f t="shared" si="3"/>
        <v>Stable</v>
      </c>
    </row>
    <row r="96" spans="1:16" x14ac:dyDescent="0.25">
      <c r="A96">
        <v>1103</v>
      </c>
      <c r="B96" t="s">
        <v>198</v>
      </c>
      <c r="C96" t="s">
        <v>199</v>
      </c>
      <c r="D96">
        <v>90.78</v>
      </c>
      <c r="E96">
        <v>10</v>
      </c>
      <c r="F96">
        <v>-8.8066199999999997E-2</v>
      </c>
      <c r="G96">
        <v>0.86645718800000004</v>
      </c>
      <c r="H96" t="s">
        <v>9</v>
      </c>
      <c r="I96">
        <v>0.49782559300000001</v>
      </c>
      <c r="J96">
        <v>3.9069912999999998E-2</v>
      </c>
      <c r="K96">
        <v>2.4374369E-2</v>
      </c>
      <c r="L96">
        <v>-0.12258535299999999</v>
      </c>
      <c r="M96">
        <v>-3.2502643999999997E-2</v>
      </c>
      <c r="N96">
        <v>0</v>
      </c>
      <c r="O96" t="str">
        <f t="shared" si="2"/>
        <v>Stable</v>
      </c>
      <c r="P96" t="str">
        <f t="shared" si="3"/>
        <v>Stable</v>
      </c>
    </row>
    <row r="97" spans="1:16" x14ac:dyDescent="0.25">
      <c r="A97">
        <v>1104</v>
      </c>
      <c r="B97" t="s">
        <v>200</v>
      </c>
      <c r="C97" t="s">
        <v>201</v>
      </c>
      <c r="D97">
        <v>89.39</v>
      </c>
      <c r="E97">
        <v>6</v>
      </c>
      <c r="F97">
        <v>2.9034499999999999</v>
      </c>
      <c r="G97">
        <v>0.86724273399999996</v>
      </c>
      <c r="H97" t="s">
        <v>9</v>
      </c>
      <c r="I97">
        <v>0.59301078299999999</v>
      </c>
      <c r="J97">
        <v>-2.3778461000000001E-2</v>
      </c>
      <c r="K97">
        <v>-1.7802904000000001E-2</v>
      </c>
      <c r="L97">
        <v>4.7369159000000001E-2</v>
      </c>
      <c r="M97">
        <v>-2.24632E-3</v>
      </c>
      <c r="N97">
        <v>0</v>
      </c>
      <c r="O97" t="str">
        <f t="shared" si="2"/>
        <v>Unstable</v>
      </c>
      <c r="P97" t="str">
        <f t="shared" si="3"/>
        <v>Stable</v>
      </c>
    </row>
    <row r="98" spans="1:16" x14ac:dyDescent="0.25">
      <c r="A98">
        <v>1105</v>
      </c>
      <c r="B98" t="s">
        <v>202</v>
      </c>
      <c r="C98" t="s">
        <v>203</v>
      </c>
      <c r="D98">
        <v>89.47</v>
      </c>
      <c r="E98">
        <v>11</v>
      </c>
      <c r="F98">
        <v>14.180400000000001</v>
      </c>
      <c r="G98">
        <v>0.86802827999999999</v>
      </c>
      <c r="H98" t="s">
        <v>9</v>
      </c>
      <c r="I98">
        <v>0.86466813099999995</v>
      </c>
      <c r="J98">
        <v>-5.4063749999999997E-3</v>
      </c>
      <c r="K98">
        <v>2.6557279999999999E-2</v>
      </c>
      <c r="L98">
        <v>0.26409480699999999</v>
      </c>
      <c r="M98">
        <v>-1.0046889E-2</v>
      </c>
      <c r="N98">
        <v>0</v>
      </c>
      <c r="O98" t="str">
        <f t="shared" si="2"/>
        <v>Unstable</v>
      </c>
      <c r="P98" t="str">
        <f t="shared" si="3"/>
        <v>Stable</v>
      </c>
    </row>
    <row r="99" spans="1:16" x14ac:dyDescent="0.25">
      <c r="A99">
        <v>1142</v>
      </c>
      <c r="B99" t="s">
        <v>204</v>
      </c>
      <c r="C99" t="s">
        <v>205</v>
      </c>
      <c r="D99">
        <v>56.16</v>
      </c>
      <c r="E99">
        <v>4</v>
      </c>
      <c r="F99">
        <v>0.266432</v>
      </c>
      <c r="G99">
        <v>0.89709348</v>
      </c>
      <c r="H99" t="s">
        <v>12</v>
      </c>
      <c r="I99">
        <v>0.17360036100000001</v>
      </c>
      <c r="J99">
        <v>-6.0378872E-2</v>
      </c>
      <c r="K99">
        <v>-0.137265573</v>
      </c>
      <c r="L99">
        <v>-0.145913823</v>
      </c>
      <c r="M99">
        <v>-7.2310680000000002E-2</v>
      </c>
      <c r="N99">
        <v>1</v>
      </c>
      <c r="O99" t="str">
        <f t="shared" si="2"/>
        <v>Unstable</v>
      </c>
      <c r="P99" t="str">
        <f t="shared" si="3"/>
        <v>Stable</v>
      </c>
    </row>
    <row r="100" spans="1:16" x14ac:dyDescent="0.25">
      <c r="A100">
        <v>1143</v>
      </c>
      <c r="B100" t="s">
        <v>206</v>
      </c>
      <c r="C100" t="s">
        <v>207</v>
      </c>
      <c r="D100">
        <v>49.87</v>
      </c>
      <c r="E100">
        <v>2</v>
      </c>
      <c r="F100">
        <v>0.57616199999999995</v>
      </c>
      <c r="G100">
        <v>0.89787902600000002</v>
      </c>
      <c r="H100" t="s">
        <v>12</v>
      </c>
      <c r="I100">
        <v>0.115987875</v>
      </c>
      <c r="J100">
        <v>-0.189668593</v>
      </c>
      <c r="K100">
        <v>-0.12977603099999999</v>
      </c>
      <c r="L100">
        <v>-9.8298895999999997E-2</v>
      </c>
      <c r="M100">
        <v>-5.5737914E-2</v>
      </c>
      <c r="N100">
        <v>1</v>
      </c>
      <c r="O100" t="str">
        <f t="shared" si="2"/>
        <v>Unstable</v>
      </c>
      <c r="P100" t="str">
        <f t="shared" si="3"/>
        <v>Stable</v>
      </c>
    </row>
    <row r="101" spans="1:16" x14ac:dyDescent="0.25">
      <c r="A101">
        <v>1161</v>
      </c>
      <c r="B101" t="s">
        <v>208</v>
      </c>
      <c r="C101" t="s">
        <v>209</v>
      </c>
      <c r="D101">
        <v>31.52</v>
      </c>
      <c r="E101">
        <v>0</v>
      </c>
      <c r="F101">
        <v>-0.28921200000000002</v>
      </c>
      <c r="G101">
        <v>0.91201885299999996</v>
      </c>
      <c r="H101" t="s">
        <v>12</v>
      </c>
      <c r="I101">
        <v>8.0745146000000004E-2</v>
      </c>
      <c r="J101">
        <v>-0.225938422</v>
      </c>
      <c r="K101">
        <v>-0.13225154</v>
      </c>
      <c r="L101">
        <v>-0.11547255100000001</v>
      </c>
      <c r="M101">
        <v>-3.506165E-2</v>
      </c>
      <c r="N101">
        <v>1</v>
      </c>
      <c r="O101" t="str">
        <f t="shared" si="2"/>
        <v>Stable</v>
      </c>
      <c r="P101" t="str">
        <f t="shared" si="3"/>
        <v>Stable</v>
      </c>
    </row>
    <row r="102" spans="1:16" x14ac:dyDescent="0.25">
      <c r="A102">
        <v>1200</v>
      </c>
      <c r="B102" t="s">
        <v>210</v>
      </c>
      <c r="C102" t="s">
        <v>211</v>
      </c>
      <c r="D102">
        <v>40.020000000000003</v>
      </c>
      <c r="E102">
        <v>0</v>
      </c>
      <c r="F102">
        <v>-0.88533600000000001</v>
      </c>
      <c r="G102">
        <v>0.94265514500000003</v>
      </c>
      <c r="H102" t="s">
        <v>12</v>
      </c>
      <c r="I102">
        <v>0.134627372</v>
      </c>
      <c r="J102">
        <v>-0.16723738599999999</v>
      </c>
      <c r="K102">
        <v>-0.15578502999999999</v>
      </c>
      <c r="L102">
        <v>-9.9092573000000003E-2</v>
      </c>
      <c r="M102">
        <v>-3.2726947999999999E-2</v>
      </c>
      <c r="N102">
        <v>0</v>
      </c>
      <c r="O102" t="str">
        <f t="shared" si="2"/>
        <v>Stable</v>
      </c>
      <c r="P102" t="str">
        <f t="shared" si="3"/>
        <v>Stable</v>
      </c>
    </row>
    <row r="103" spans="1:16" x14ac:dyDescent="0.25">
      <c r="A103">
        <v>1227</v>
      </c>
      <c r="B103" t="s">
        <v>212</v>
      </c>
      <c r="C103" t="s">
        <v>213</v>
      </c>
      <c r="D103">
        <v>81.87</v>
      </c>
      <c r="E103">
        <v>6</v>
      </c>
      <c r="F103">
        <v>-0.59309800000000001</v>
      </c>
      <c r="G103">
        <v>0.96386488599999998</v>
      </c>
      <c r="H103" t="s">
        <v>15</v>
      </c>
      <c r="I103">
        <v>0.26530441599999999</v>
      </c>
      <c r="J103">
        <v>-1.11384E-2</v>
      </c>
      <c r="K103">
        <v>-5.2441927999999999E-2</v>
      </c>
      <c r="L103">
        <v>-0.16183703399999999</v>
      </c>
      <c r="M103">
        <v>-9.874753E-2</v>
      </c>
      <c r="N103">
        <v>0</v>
      </c>
      <c r="O103" t="str">
        <f t="shared" si="2"/>
        <v>Stable</v>
      </c>
      <c r="P103" t="str">
        <f t="shared" si="3"/>
        <v>Stable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653E-1128-41B7-8657-91D1E272447F}">
  <dimension ref="A1:C144"/>
  <sheetViews>
    <sheetView topLeftCell="A110" workbookViewId="0">
      <selection sqref="A1:C144"/>
    </sheetView>
  </sheetViews>
  <sheetFormatPr defaultRowHeight="15" x14ac:dyDescent="0.25"/>
  <cols>
    <col min="2" max="2" width="12.140625" bestFit="1" customWidth="1"/>
  </cols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8</v>
      </c>
      <c r="C2">
        <v>-5.1893000000000002</v>
      </c>
    </row>
    <row r="3" spans="1:3" x14ac:dyDescent="0.25">
      <c r="A3">
        <v>11</v>
      </c>
      <c r="B3" t="s">
        <v>217</v>
      </c>
      <c r="C3">
        <v>-3.5840000000000001</v>
      </c>
    </row>
    <row r="4" spans="1:3" x14ac:dyDescent="0.25">
      <c r="A4">
        <v>17</v>
      </c>
      <c r="B4" t="s">
        <v>218</v>
      </c>
      <c r="C4" t="s">
        <v>219</v>
      </c>
    </row>
    <row r="5" spans="1:3" x14ac:dyDescent="0.25">
      <c r="A5">
        <v>22</v>
      </c>
      <c r="B5" t="s">
        <v>11</v>
      </c>
      <c r="C5">
        <v>1.2638</v>
      </c>
    </row>
    <row r="6" spans="1:3" x14ac:dyDescent="0.25">
      <c r="A6">
        <v>24</v>
      </c>
      <c r="B6" t="s">
        <v>220</v>
      </c>
      <c r="C6" t="s">
        <v>219</v>
      </c>
    </row>
    <row r="7" spans="1:3" x14ac:dyDescent="0.25">
      <c r="A7">
        <v>27</v>
      </c>
      <c r="B7" t="s">
        <v>221</v>
      </c>
      <c r="C7">
        <v>0.42847000000000002</v>
      </c>
    </row>
    <row r="8" spans="1:3" x14ac:dyDescent="0.25">
      <c r="A8">
        <v>50</v>
      </c>
      <c r="B8" t="s">
        <v>222</v>
      </c>
      <c r="C8">
        <v>-0.98116000000000003</v>
      </c>
    </row>
    <row r="9" spans="1:3" x14ac:dyDescent="0.25">
      <c r="A9">
        <v>61</v>
      </c>
      <c r="B9" t="s">
        <v>14</v>
      </c>
      <c r="C9">
        <v>-1.2196</v>
      </c>
    </row>
    <row r="10" spans="1:3" x14ac:dyDescent="0.25">
      <c r="A10">
        <v>84</v>
      </c>
      <c r="B10" t="s">
        <v>223</v>
      </c>
      <c r="C10">
        <v>2.0089000000000001</v>
      </c>
    </row>
    <row r="11" spans="1:3" x14ac:dyDescent="0.25">
      <c r="A11">
        <v>94</v>
      </c>
      <c r="B11" t="s">
        <v>17</v>
      </c>
      <c r="C11">
        <v>-1.8774999999999999</v>
      </c>
    </row>
    <row r="12" spans="1:3" x14ac:dyDescent="0.25">
      <c r="A12">
        <v>95</v>
      </c>
      <c r="B12" t="s">
        <v>19</v>
      </c>
      <c r="C12">
        <v>1.2451000000000001</v>
      </c>
    </row>
    <row r="13" spans="1:3" x14ac:dyDescent="0.25">
      <c r="A13">
        <v>127</v>
      </c>
      <c r="B13" t="s">
        <v>224</v>
      </c>
      <c r="C13">
        <v>-0.42452000000000001</v>
      </c>
    </row>
    <row r="14" spans="1:3" x14ac:dyDescent="0.25">
      <c r="A14">
        <v>147</v>
      </c>
      <c r="B14" t="s">
        <v>21</v>
      </c>
      <c r="C14">
        <v>1.3428</v>
      </c>
    </row>
    <row r="15" spans="1:3" x14ac:dyDescent="0.25">
      <c r="A15">
        <v>153</v>
      </c>
      <c r="B15" t="s">
        <v>225</v>
      </c>
      <c r="C15">
        <v>1.077</v>
      </c>
    </row>
    <row r="16" spans="1:3" x14ac:dyDescent="0.25">
      <c r="A16">
        <v>158</v>
      </c>
      <c r="B16" t="s">
        <v>226</v>
      </c>
      <c r="C16">
        <v>0.50495000000000001</v>
      </c>
    </row>
    <row r="17" spans="1:3" x14ac:dyDescent="0.25">
      <c r="A17">
        <v>212</v>
      </c>
      <c r="B17" t="s">
        <v>227</v>
      </c>
      <c r="C17">
        <v>-0.99056</v>
      </c>
    </row>
    <row r="18" spans="1:3" x14ac:dyDescent="0.25">
      <c r="A18">
        <v>213</v>
      </c>
      <c r="B18" t="s">
        <v>23</v>
      </c>
      <c r="C18">
        <v>0.53178999999999998</v>
      </c>
    </row>
    <row r="19" spans="1:3" x14ac:dyDescent="0.25">
      <c r="A19">
        <v>213</v>
      </c>
      <c r="B19" t="s">
        <v>25</v>
      </c>
      <c r="C19">
        <v>6.6678000000000001E-2</v>
      </c>
    </row>
    <row r="20" spans="1:3" x14ac:dyDescent="0.25">
      <c r="A20">
        <v>216</v>
      </c>
      <c r="B20" t="s">
        <v>228</v>
      </c>
      <c r="C20">
        <v>0.37567</v>
      </c>
    </row>
    <row r="21" spans="1:3" x14ac:dyDescent="0.25">
      <c r="A21">
        <v>243</v>
      </c>
      <c r="B21" t="s">
        <v>27</v>
      </c>
      <c r="C21">
        <v>-1.0813999999999999</v>
      </c>
    </row>
    <row r="22" spans="1:3" x14ac:dyDescent="0.25">
      <c r="A22">
        <v>245</v>
      </c>
      <c r="B22" t="s">
        <v>229</v>
      </c>
      <c r="C22">
        <v>0.96786000000000005</v>
      </c>
    </row>
    <row r="23" spans="1:3" x14ac:dyDescent="0.25">
      <c r="A23">
        <v>264</v>
      </c>
      <c r="B23" t="s">
        <v>230</v>
      </c>
      <c r="C23">
        <v>0.27072000000000002</v>
      </c>
    </row>
    <row r="24" spans="1:3" x14ac:dyDescent="0.25">
      <c r="A24">
        <v>307</v>
      </c>
      <c r="B24" t="s">
        <v>231</v>
      </c>
      <c r="C24">
        <v>0.31174000000000002</v>
      </c>
    </row>
    <row r="25" spans="1:3" x14ac:dyDescent="0.25">
      <c r="A25">
        <v>319</v>
      </c>
      <c r="B25" t="s">
        <v>29</v>
      </c>
      <c r="C25">
        <v>-2.661</v>
      </c>
    </row>
    <row r="26" spans="1:3" x14ac:dyDescent="0.25">
      <c r="A26">
        <v>327</v>
      </c>
      <c r="B26" t="s">
        <v>31</v>
      </c>
      <c r="C26">
        <v>-1.9744999999999999</v>
      </c>
    </row>
    <row r="27" spans="1:3" x14ac:dyDescent="0.25">
      <c r="A27">
        <v>328</v>
      </c>
      <c r="B27" t="s">
        <v>33</v>
      </c>
      <c r="C27">
        <v>-6.6657999999999999</v>
      </c>
    </row>
    <row r="28" spans="1:3" x14ac:dyDescent="0.25">
      <c r="A28">
        <v>332</v>
      </c>
      <c r="B28" t="s">
        <v>232</v>
      </c>
      <c r="C28">
        <v>-1.1591</v>
      </c>
    </row>
    <row r="29" spans="1:3" x14ac:dyDescent="0.25">
      <c r="A29">
        <v>333</v>
      </c>
      <c r="B29" t="s">
        <v>35</v>
      </c>
      <c r="C29">
        <v>-2.4464999999999999</v>
      </c>
    </row>
    <row r="30" spans="1:3" x14ac:dyDescent="0.25">
      <c r="A30">
        <v>342</v>
      </c>
      <c r="B30" t="s">
        <v>37</v>
      </c>
      <c r="C30">
        <v>-1.5466</v>
      </c>
    </row>
    <row r="31" spans="1:3" x14ac:dyDescent="0.25">
      <c r="A31">
        <v>347</v>
      </c>
      <c r="B31" t="s">
        <v>39</v>
      </c>
      <c r="C31">
        <v>-3.0078999999999998</v>
      </c>
    </row>
    <row r="32" spans="1:3" x14ac:dyDescent="0.25">
      <c r="A32">
        <v>356</v>
      </c>
      <c r="B32" t="s">
        <v>233</v>
      </c>
      <c r="C32">
        <v>3.3426999999999998</v>
      </c>
    </row>
    <row r="33" spans="1:3" x14ac:dyDescent="0.25">
      <c r="A33">
        <v>358</v>
      </c>
      <c r="B33" t="s">
        <v>41</v>
      </c>
      <c r="C33">
        <v>-3.1560000000000001</v>
      </c>
    </row>
    <row r="34" spans="1:3" x14ac:dyDescent="0.25">
      <c r="A34">
        <v>371</v>
      </c>
      <c r="B34" t="s">
        <v>234</v>
      </c>
      <c r="C34">
        <v>-3.1661000000000001</v>
      </c>
    </row>
    <row r="35" spans="1:3" x14ac:dyDescent="0.25">
      <c r="A35">
        <v>373</v>
      </c>
      <c r="B35" t="s">
        <v>235</v>
      </c>
      <c r="C35">
        <v>0.88500000000000001</v>
      </c>
    </row>
    <row r="36" spans="1:3" x14ac:dyDescent="0.25">
      <c r="A36">
        <v>375</v>
      </c>
      <c r="B36" t="s">
        <v>236</v>
      </c>
      <c r="C36">
        <v>-1.2202</v>
      </c>
    </row>
    <row r="37" spans="1:3" x14ac:dyDescent="0.25">
      <c r="A37">
        <v>376</v>
      </c>
      <c r="B37" t="s">
        <v>237</v>
      </c>
      <c r="C37">
        <v>0.66947999999999996</v>
      </c>
    </row>
    <row r="38" spans="1:3" x14ac:dyDescent="0.25">
      <c r="A38">
        <v>403</v>
      </c>
      <c r="B38" t="s">
        <v>238</v>
      </c>
      <c r="C38">
        <v>-0.48037999999999997</v>
      </c>
    </row>
    <row r="39" spans="1:3" x14ac:dyDescent="0.25">
      <c r="A39">
        <v>408</v>
      </c>
      <c r="B39" t="s">
        <v>43</v>
      </c>
      <c r="C39">
        <v>1.2226999999999999</v>
      </c>
    </row>
    <row r="40" spans="1:3" x14ac:dyDescent="0.25">
      <c r="A40">
        <v>440</v>
      </c>
      <c r="B40" t="s">
        <v>239</v>
      </c>
      <c r="C40">
        <v>1.5455000000000001</v>
      </c>
    </row>
    <row r="41" spans="1:3" x14ac:dyDescent="0.25">
      <c r="A41">
        <v>446</v>
      </c>
      <c r="B41" t="s">
        <v>45</v>
      </c>
      <c r="C41">
        <v>1.4892000000000001</v>
      </c>
    </row>
    <row r="42" spans="1:3" x14ac:dyDescent="0.25">
      <c r="A42">
        <v>450</v>
      </c>
      <c r="B42" t="s">
        <v>240</v>
      </c>
      <c r="C42">
        <v>1.2871999999999999</v>
      </c>
    </row>
    <row r="43" spans="1:3" x14ac:dyDescent="0.25">
      <c r="A43">
        <v>454</v>
      </c>
      <c r="B43" t="s">
        <v>47</v>
      </c>
      <c r="C43">
        <v>-5.1893000000000002</v>
      </c>
    </row>
    <row r="44" spans="1:3" x14ac:dyDescent="0.25">
      <c r="A44">
        <v>457</v>
      </c>
      <c r="B44" t="s">
        <v>49</v>
      </c>
      <c r="C44">
        <v>-3.9577</v>
      </c>
    </row>
    <row r="45" spans="1:3" x14ac:dyDescent="0.25">
      <c r="A45">
        <v>460</v>
      </c>
      <c r="B45" t="s">
        <v>241</v>
      </c>
      <c r="C45">
        <v>2.2250999999999999</v>
      </c>
    </row>
    <row r="46" spans="1:3" x14ac:dyDescent="0.25">
      <c r="A46">
        <v>477</v>
      </c>
      <c r="B46" t="s">
        <v>51</v>
      </c>
      <c r="C46">
        <v>0.96450999999999998</v>
      </c>
    </row>
    <row r="47" spans="1:3" x14ac:dyDescent="0.25">
      <c r="A47">
        <v>481</v>
      </c>
      <c r="B47" t="s">
        <v>242</v>
      </c>
      <c r="C47">
        <v>1.8512</v>
      </c>
    </row>
    <row r="48" spans="1:3" x14ac:dyDescent="0.25">
      <c r="A48">
        <v>485</v>
      </c>
      <c r="B48" t="s">
        <v>53</v>
      </c>
      <c r="C48">
        <v>-0.85089999999999999</v>
      </c>
    </row>
    <row r="49" spans="1:3" x14ac:dyDescent="0.25">
      <c r="A49">
        <v>494</v>
      </c>
      <c r="B49" t="s">
        <v>243</v>
      </c>
      <c r="C49">
        <v>3.0099</v>
      </c>
    </row>
    <row r="50" spans="1:3" x14ac:dyDescent="0.25">
      <c r="A50">
        <v>498</v>
      </c>
      <c r="B50" t="s">
        <v>55</v>
      </c>
      <c r="C50">
        <v>-1.6077999999999999</v>
      </c>
    </row>
    <row r="51" spans="1:3" x14ac:dyDescent="0.25">
      <c r="A51">
        <v>501</v>
      </c>
      <c r="B51" t="s">
        <v>57</v>
      </c>
      <c r="C51">
        <v>3.1341999999999999</v>
      </c>
    </row>
    <row r="52" spans="1:3" x14ac:dyDescent="0.25">
      <c r="A52">
        <v>505</v>
      </c>
      <c r="B52" t="s">
        <v>244</v>
      </c>
      <c r="C52">
        <v>-0.19075</v>
      </c>
    </row>
    <row r="53" spans="1:3" x14ac:dyDescent="0.25">
      <c r="A53">
        <v>522</v>
      </c>
      <c r="B53" t="s">
        <v>245</v>
      </c>
      <c r="C53">
        <v>0.20082</v>
      </c>
    </row>
    <row r="54" spans="1:3" x14ac:dyDescent="0.25">
      <c r="A54">
        <v>553</v>
      </c>
      <c r="B54" t="s">
        <v>59</v>
      </c>
      <c r="C54">
        <v>-1.1535</v>
      </c>
    </row>
    <row r="55" spans="1:3" x14ac:dyDescent="0.25">
      <c r="A55">
        <v>554</v>
      </c>
      <c r="B55" t="s">
        <v>246</v>
      </c>
      <c r="C55">
        <v>1.1376000000000001E-2</v>
      </c>
    </row>
    <row r="56" spans="1:3" x14ac:dyDescent="0.25">
      <c r="A56">
        <v>555</v>
      </c>
      <c r="B56" t="s">
        <v>61</v>
      </c>
      <c r="C56">
        <v>-5.0433000000000003</v>
      </c>
    </row>
    <row r="57" spans="1:3" x14ac:dyDescent="0.25">
      <c r="A57">
        <v>570</v>
      </c>
      <c r="B57" t="s">
        <v>63</v>
      </c>
      <c r="C57">
        <v>-0.63104000000000005</v>
      </c>
    </row>
    <row r="58" spans="1:3" x14ac:dyDescent="0.25">
      <c r="A58">
        <v>571</v>
      </c>
      <c r="B58" t="s">
        <v>65</v>
      </c>
      <c r="C58">
        <v>-2.8511000000000002</v>
      </c>
    </row>
    <row r="59" spans="1:3" x14ac:dyDescent="0.25">
      <c r="A59">
        <v>574</v>
      </c>
      <c r="B59" t="s">
        <v>247</v>
      </c>
      <c r="C59">
        <v>0.94059999999999999</v>
      </c>
    </row>
    <row r="60" spans="1:3" x14ac:dyDescent="0.25">
      <c r="A60">
        <v>605</v>
      </c>
      <c r="B60" t="s">
        <v>67</v>
      </c>
      <c r="C60">
        <v>-3.4868999999999999</v>
      </c>
    </row>
    <row r="61" spans="1:3" x14ac:dyDescent="0.25">
      <c r="A61">
        <v>613</v>
      </c>
      <c r="B61" t="s">
        <v>69</v>
      </c>
      <c r="C61">
        <v>1.3399000000000001</v>
      </c>
    </row>
    <row r="62" spans="1:3" x14ac:dyDescent="0.25">
      <c r="A62">
        <v>614</v>
      </c>
      <c r="B62" t="s">
        <v>71</v>
      </c>
      <c r="C62" t="s">
        <v>219</v>
      </c>
    </row>
    <row r="63" spans="1:3" x14ac:dyDescent="0.25">
      <c r="A63">
        <v>621</v>
      </c>
      <c r="B63" t="s">
        <v>73</v>
      </c>
      <c r="C63">
        <v>0.20036000000000001</v>
      </c>
    </row>
    <row r="64" spans="1:3" x14ac:dyDescent="0.25">
      <c r="A64">
        <v>655</v>
      </c>
      <c r="B64" t="s">
        <v>75</v>
      </c>
      <c r="C64">
        <v>1.2056</v>
      </c>
    </row>
    <row r="65" spans="1:3" x14ac:dyDescent="0.25">
      <c r="A65">
        <v>665</v>
      </c>
      <c r="B65" t="s">
        <v>77</v>
      </c>
      <c r="C65">
        <v>-7.2404999999999999</v>
      </c>
    </row>
    <row r="66" spans="1:3" x14ac:dyDescent="0.25">
      <c r="A66">
        <v>678</v>
      </c>
      <c r="B66" t="s">
        <v>79</v>
      </c>
      <c r="C66">
        <v>0.61077000000000004</v>
      </c>
    </row>
    <row r="67" spans="1:3" x14ac:dyDescent="0.25">
      <c r="A67">
        <v>679</v>
      </c>
      <c r="B67" t="s">
        <v>81</v>
      </c>
      <c r="C67">
        <v>2.9422999999999999</v>
      </c>
    </row>
    <row r="68" spans="1:3" x14ac:dyDescent="0.25">
      <c r="A68">
        <v>681</v>
      </c>
      <c r="B68" t="s">
        <v>83</v>
      </c>
      <c r="C68">
        <v>3.8472</v>
      </c>
    </row>
    <row r="69" spans="1:3" x14ac:dyDescent="0.25">
      <c r="A69">
        <v>681</v>
      </c>
      <c r="B69" t="s">
        <v>85</v>
      </c>
      <c r="C69">
        <v>3.8673999999999999</v>
      </c>
    </row>
    <row r="70" spans="1:3" x14ac:dyDescent="0.25">
      <c r="A70">
        <v>690</v>
      </c>
      <c r="B70" t="s">
        <v>87</v>
      </c>
      <c r="C70">
        <v>-1.0302</v>
      </c>
    </row>
    <row r="71" spans="1:3" x14ac:dyDescent="0.25">
      <c r="A71">
        <v>700</v>
      </c>
      <c r="B71" t="s">
        <v>89</v>
      </c>
      <c r="C71">
        <v>-4.2679</v>
      </c>
    </row>
    <row r="72" spans="1:3" x14ac:dyDescent="0.25">
      <c r="A72">
        <v>701</v>
      </c>
      <c r="B72" t="s">
        <v>91</v>
      </c>
      <c r="C72">
        <v>0.68862999999999996</v>
      </c>
    </row>
    <row r="73" spans="1:3" x14ac:dyDescent="0.25">
      <c r="A73">
        <v>704</v>
      </c>
      <c r="B73" t="s">
        <v>93</v>
      </c>
      <c r="C73">
        <v>0.98680000000000001</v>
      </c>
    </row>
    <row r="74" spans="1:3" x14ac:dyDescent="0.25">
      <c r="A74">
        <v>710</v>
      </c>
      <c r="B74" t="s">
        <v>95</v>
      </c>
      <c r="C74">
        <v>-2.3403</v>
      </c>
    </row>
    <row r="75" spans="1:3" x14ac:dyDescent="0.25">
      <c r="A75">
        <v>764</v>
      </c>
      <c r="B75" t="s">
        <v>248</v>
      </c>
      <c r="C75">
        <v>-1.1519999999999999</v>
      </c>
    </row>
    <row r="76" spans="1:3" x14ac:dyDescent="0.25">
      <c r="A76">
        <v>791</v>
      </c>
      <c r="B76" t="s">
        <v>249</v>
      </c>
      <c r="C76">
        <v>-0.44433</v>
      </c>
    </row>
    <row r="77" spans="1:3" x14ac:dyDescent="0.25">
      <c r="A77">
        <v>795</v>
      </c>
      <c r="B77" t="s">
        <v>97</v>
      </c>
      <c r="C77">
        <v>-0.65666999999999998</v>
      </c>
    </row>
    <row r="78" spans="1:3" x14ac:dyDescent="0.25">
      <c r="A78">
        <v>832</v>
      </c>
      <c r="B78" t="s">
        <v>99</v>
      </c>
      <c r="C78">
        <v>-1.3616999999999999</v>
      </c>
    </row>
    <row r="79" spans="1:3" x14ac:dyDescent="0.25">
      <c r="A79">
        <v>834</v>
      </c>
      <c r="B79" t="s">
        <v>101</v>
      </c>
      <c r="C79">
        <v>0.13037000000000001</v>
      </c>
    </row>
    <row r="80" spans="1:3" x14ac:dyDescent="0.25">
      <c r="A80">
        <v>835</v>
      </c>
      <c r="B80" t="s">
        <v>103</v>
      </c>
      <c r="C80">
        <v>-1.0165999999999999</v>
      </c>
    </row>
    <row r="81" spans="1:3" x14ac:dyDescent="0.25">
      <c r="A81">
        <v>844</v>
      </c>
      <c r="B81" t="s">
        <v>105</v>
      </c>
      <c r="C81">
        <v>0.13983000000000001</v>
      </c>
    </row>
    <row r="82" spans="1:3" x14ac:dyDescent="0.25">
      <c r="A82">
        <v>845</v>
      </c>
      <c r="B82" t="s">
        <v>107</v>
      </c>
      <c r="C82">
        <v>1.1894</v>
      </c>
    </row>
    <row r="83" spans="1:3" x14ac:dyDescent="0.25">
      <c r="A83">
        <v>849</v>
      </c>
      <c r="B83" t="s">
        <v>109</v>
      </c>
      <c r="C83">
        <v>-3.5840000000000001</v>
      </c>
    </row>
    <row r="84" spans="1:3" x14ac:dyDescent="0.25">
      <c r="A84">
        <v>858</v>
      </c>
      <c r="B84" t="s">
        <v>111</v>
      </c>
      <c r="C84">
        <v>-1.6532</v>
      </c>
    </row>
    <row r="85" spans="1:3" x14ac:dyDescent="0.25">
      <c r="A85">
        <v>878</v>
      </c>
      <c r="B85" t="s">
        <v>113</v>
      </c>
      <c r="C85">
        <v>-1.7398</v>
      </c>
    </row>
    <row r="86" spans="1:3" x14ac:dyDescent="0.25">
      <c r="A86">
        <v>880</v>
      </c>
      <c r="B86" t="s">
        <v>115</v>
      </c>
      <c r="C86">
        <v>-5.9568000000000003</v>
      </c>
    </row>
    <row r="87" spans="1:3" x14ac:dyDescent="0.25">
      <c r="A87">
        <v>889</v>
      </c>
      <c r="B87" t="s">
        <v>117</v>
      </c>
      <c r="C87">
        <v>-4.1007999999999996</v>
      </c>
    </row>
    <row r="88" spans="1:3" x14ac:dyDescent="0.25">
      <c r="A88">
        <v>891</v>
      </c>
      <c r="B88" t="s">
        <v>119</v>
      </c>
      <c r="C88">
        <v>-2.661</v>
      </c>
    </row>
    <row r="89" spans="1:3" x14ac:dyDescent="0.25">
      <c r="A89">
        <v>897</v>
      </c>
      <c r="B89" t="s">
        <v>121</v>
      </c>
      <c r="C89">
        <v>-4.5854999999999997</v>
      </c>
    </row>
    <row r="90" spans="1:3" x14ac:dyDescent="0.25">
      <c r="A90">
        <v>898</v>
      </c>
      <c r="B90" t="s">
        <v>123</v>
      </c>
      <c r="C90">
        <v>-3.5840000000000001</v>
      </c>
    </row>
    <row r="91" spans="1:3" x14ac:dyDescent="0.25">
      <c r="A91">
        <v>900</v>
      </c>
      <c r="B91" t="s">
        <v>125</v>
      </c>
      <c r="C91">
        <v>-1.8936999999999999</v>
      </c>
    </row>
    <row r="92" spans="1:3" x14ac:dyDescent="0.25">
      <c r="A92">
        <v>902</v>
      </c>
      <c r="B92" t="s">
        <v>127</v>
      </c>
      <c r="C92">
        <v>-2.7856999999999998</v>
      </c>
    </row>
    <row r="93" spans="1:3" x14ac:dyDescent="0.25">
      <c r="A93">
        <v>903</v>
      </c>
      <c r="B93" t="s">
        <v>129</v>
      </c>
      <c r="C93">
        <v>-1.7170000000000001</v>
      </c>
    </row>
    <row r="94" spans="1:3" x14ac:dyDescent="0.25">
      <c r="A94">
        <v>904</v>
      </c>
      <c r="B94" t="s">
        <v>131</v>
      </c>
      <c r="C94">
        <v>-3.1560000000000001</v>
      </c>
    </row>
    <row r="95" spans="1:3" x14ac:dyDescent="0.25">
      <c r="A95">
        <v>906</v>
      </c>
      <c r="B95" t="s">
        <v>133</v>
      </c>
      <c r="C95">
        <v>-2.4853999999999998</v>
      </c>
    </row>
    <row r="96" spans="1:3" x14ac:dyDescent="0.25">
      <c r="A96">
        <v>928</v>
      </c>
      <c r="B96" t="s">
        <v>135</v>
      </c>
      <c r="C96">
        <v>-4.0907</v>
      </c>
    </row>
    <row r="97" spans="1:3" x14ac:dyDescent="0.25">
      <c r="A97">
        <v>930</v>
      </c>
      <c r="B97" t="s">
        <v>137</v>
      </c>
      <c r="C97">
        <v>-2.9761000000000002</v>
      </c>
    </row>
    <row r="98" spans="1:3" x14ac:dyDescent="0.25">
      <c r="A98">
        <v>933</v>
      </c>
      <c r="B98" t="s">
        <v>139</v>
      </c>
      <c r="C98">
        <v>-1.0784</v>
      </c>
    </row>
    <row r="99" spans="1:3" x14ac:dyDescent="0.25">
      <c r="A99">
        <v>936</v>
      </c>
      <c r="B99" t="s">
        <v>250</v>
      </c>
      <c r="C99">
        <v>3.3450000000000002</v>
      </c>
    </row>
    <row r="100" spans="1:3" x14ac:dyDescent="0.25">
      <c r="A100">
        <v>937</v>
      </c>
      <c r="B100" t="s">
        <v>141</v>
      </c>
      <c r="C100">
        <v>1.0310999999999999</v>
      </c>
    </row>
    <row r="101" spans="1:3" x14ac:dyDescent="0.25">
      <c r="A101">
        <v>939</v>
      </c>
      <c r="B101" t="s">
        <v>251</v>
      </c>
      <c r="C101">
        <v>1.0817000000000001</v>
      </c>
    </row>
    <row r="102" spans="1:3" x14ac:dyDescent="0.25">
      <c r="A102">
        <v>946</v>
      </c>
      <c r="B102" t="s">
        <v>143</v>
      </c>
      <c r="C102">
        <v>-0.87544</v>
      </c>
    </row>
    <row r="103" spans="1:3" x14ac:dyDescent="0.25">
      <c r="A103">
        <v>948</v>
      </c>
      <c r="B103" t="s">
        <v>252</v>
      </c>
      <c r="C103">
        <v>8.7278999999999995E-2</v>
      </c>
    </row>
    <row r="104" spans="1:3" x14ac:dyDescent="0.25">
      <c r="A104">
        <v>949</v>
      </c>
      <c r="B104" t="s">
        <v>145</v>
      </c>
      <c r="C104">
        <v>-2.7029999999999998</v>
      </c>
    </row>
    <row r="105" spans="1:3" x14ac:dyDescent="0.25">
      <c r="A105">
        <v>951</v>
      </c>
      <c r="B105" t="s">
        <v>147</v>
      </c>
      <c r="C105">
        <v>-2.4853999999999998</v>
      </c>
    </row>
    <row r="106" spans="1:3" x14ac:dyDescent="0.25">
      <c r="A106">
        <v>952</v>
      </c>
      <c r="B106" t="s">
        <v>149</v>
      </c>
      <c r="C106">
        <v>-0.58621000000000001</v>
      </c>
    </row>
    <row r="107" spans="1:3" x14ac:dyDescent="0.25">
      <c r="A107">
        <v>953</v>
      </c>
      <c r="B107" t="s">
        <v>151</v>
      </c>
      <c r="C107">
        <v>-3.9498000000000002</v>
      </c>
    </row>
    <row r="108" spans="1:3" x14ac:dyDescent="0.25">
      <c r="A108">
        <v>954</v>
      </c>
      <c r="B108" t="s">
        <v>153</v>
      </c>
      <c r="C108">
        <v>0.90578000000000003</v>
      </c>
    </row>
    <row r="109" spans="1:3" x14ac:dyDescent="0.25">
      <c r="A109">
        <v>955</v>
      </c>
      <c r="B109" t="s">
        <v>155</v>
      </c>
      <c r="C109">
        <v>-4.0689000000000002</v>
      </c>
    </row>
    <row r="110" spans="1:3" x14ac:dyDescent="0.25">
      <c r="A110">
        <v>956</v>
      </c>
      <c r="B110" t="s">
        <v>157</v>
      </c>
      <c r="C110">
        <v>-2.4464999999999999</v>
      </c>
    </row>
    <row r="111" spans="1:3" x14ac:dyDescent="0.25">
      <c r="A111">
        <v>958</v>
      </c>
      <c r="B111" t="s">
        <v>159</v>
      </c>
      <c r="C111">
        <v>-3.5451000000000001</v>
      </c>
    </row>
    <row r="112" spans="1:3" x14ac:dyDescent="0.25">
      <c r="A112">
        <v>959</v>
      </c>
      <c r="B112" t="s">
        <v>161</v>
      </c>
      <c r="C112">
        <v>-2.0573999999999999</v>
      </c>
    </row>
    <row r="113" spans="1:3" x14ac:dyDescent="0.25">
      <c r="A113">
        <v>960</v>
      </c>
      <c r="B113" t="s">
        <v>163</v>
      </c>
      <c r="C113">
        <v>-0.61456</v>
      </c>
    </row>
    <row r="114" spans="1:3" x14ac:dyDescent="0.25">
      <c r="A114">
        <v>969</v>
      </c>
      <c r="B114" t="s">
        <v>165</v>
      </c>
      <c r="C114">
        <v>1.0568</v>
      </c>
    </row>
    <row r="115" spans="1:3" x14ac:dyDescent="0.25">
      <c r="A115">
        <v>971</v>
      </c>
      <c r="B115" t="s">
        <v>167</v>
      </c>
      <c r="C115">
        <v>-6.6657999999999999</v>
      </c>
    </row>
    <row r="116" spans="1:3" x14ac:dyDescent="0.25">
      <c r="A116">
        <v>982</v>
      </c>
      <c r="B116" t="s">
        <v>253</v>
      </c>
      <c r="C116">
        <v>2.8420999999999998</v>
      </c>
    </row>
    <row r="117" spans="1:3" x14ac:dyDescent="0.25">
      <c r="A117">
        <v>985</v>
      </c>
      <c r="B117" t="s">
        <v>169</v>
      </c>
      <c r="C117">
        <v>-1.8360000000000001</v>
      </c>
    </row>
    <row r="118" spans="1:3" x14ac:dyDescent="0.25">
      <c r="A118">
        <v>1000</v>
      </c>
      <c r="B118" t="s">
        <v>171</v>
      </c>
      <c r="C118">
        <v>-5.0563000000000002</v>
      </c>
    </row>
    <row r="119" spans="1:3" x14ac:dyDescent="0.25">
      <c r="A119">
        <v>1005</v>
      </c>
      <c r="B119" t="s">
        <v>173</v>
      </c>
      <c r="C119">
        <v>-3.1655000000000002</v>
      </c>
    </row>
    <row r="120" spans="1:3" x14ac:dyDescent="0.25">
      <c r="A120">
        <v>1019</v>
      </c>
      <c r="B120" t="s">
        <v>175</v>
      </c>
      <c r="C120">
        <v>-2.3664999999999998</v>
      </c>
    </row>
    <row r="121" spans="1:3" x14ac:dyDescent="0.25">
      <c r="A121">
        <v>1021</v>
      </c>
      <c r="B121" t="s">
        <v>177</v>
      </c>
      <c r="C121">
        <v>-1.8244</v>
      </c>
    </row>
    <row r="122" spans="1:3" x14ac:dyDescent="0.25">
      <c r="A122">
        <v>1027</v>
      </c>
      <c r="B122" t="s">
        <v>254</v>
      </c>
      <c r="C122">
        <v>-0.20566000000000001</v>
      </c>
    </row>
    <row r="123" spans="1:3" x14ac:dyDescent="0.25">
      <c r="A123">
        <v>1030</v>
      </c>
      <c r="B123" t="s">
        <v>179</v>
      </c>
      <c r="C123">
        <v>-2.4853999999999998</v>
      </c>
    </row>
    <row r="124" spans="1:3" x14ac:dyDescent="0.25">
      <c r="A124">
        <v>1041</v>
      </c>
      <c r="B124" t="s">
        <v>255</v>
      </c>
      <c r="C124">
        <v>-0.35533999999999999</v>
      </c>
    </row>
    <row r="125" spans="1:3" x14ac:dyDescent="0.25">
      <c r="A125">
        <v>1042</v>
      </c>
      <c r="B125" t="s">
        <v>181</v>
      </c>
      <c r="C125">
        <v>-1.9093</v>
      </c>
    </row>
    <row r="126" spans="1:3" x14ac:dyDescent="0.25">
      <c r="A126">
        <v>1044</v>
      </c>
      <c r="B126" t="s">
        <v>183</v>
      </c>
      <c r="C126">
        <v>-4.0109000000000004</v>
      </c>
    </row>
    <row r="127" spans="1:3" x14ac:dyDescent="0.25">
      <c r="A127">
        <v>1057</v>
      </c>
      <c r="B127" t="s">
        <v>185</v>
      </c>
      <c r="C127">
        <v>-4.5854999999999997</v>
      </c>
    </row>
    <row r="128" spans="1:3" x14ac:dyDescent="0.25">
      <c r="A128">
        <v>1068</v>
      </c>
      <c r="B128" t="s">
        <v>187</v>
      </c>
      <c r="C128">
        <v>-1.2101</v>
      </c>
    </row>
    <row r="129" spans="1:3" x14ac:dyDescent="0.25">
      <c r="A129">
        <v>1077</v>
      </c>
      <c r="B129" t="s">
        <v>189</v>
      </c>
      <c r="C129">
        <v>-2.306</v>
      </c>
    </row>
    <row r="130" spans="1:3" x14ac:dyDescent="0.25">
      <c r="A130">
        <v>1080</v>
      </c>
      <c r="B130" t="s">
        <v>191</v>
      </c>
      <c r="C130">
        <v>-3.8365999999999998</v>
      </c>
    </row>
    <row r="131" spans="1:3" x14ac:dyDescent="0.25">
      <c r="A131">
        <v>1083</v>
      </c>
      <c r="B131" t="s">
        <v>256</v>
      </c>
      <c r="C131">
        <v>0.19377</v>
      </c>
    </row>
    <row r="132" spans="1:3" x14ac:dyDescent="0.25">
      <c r="A132">
        <v>1090</v>
      </c>
      <c r="B132" t="s">
        <v>193</v>
      </c>
      <c r="C132">
        <v>-3.2332000000000001</v>
      </c>
    </row>
    <row r="133" spans="1:3" x14ac:dyDescent="0.25">
      <c r="A133">
        <v>1100</v>
      </c>
      <c r="B133" t="s">
        <v>195</v>
      </c>
      <c r="C133">
        <v>-1.9357</v>
      </c>
    </row>
    <row r="134" spans="1:3" x14ac:dyDescent="0.25">
      <c r="A134">
        <v>1101</v>
      </c>
      <c r="B134" t="s">
        <v>257</v>
      </c>
      <c r="C134">
        <v>0.59980999999999995</v>
      </c>
    </row>
    <row r="135" spans="1:3" x14ac:dyDescent="0.25">
      <c r="A135">
        <v>1102</v>
      </c>
      <c r="B135" t="s">
        <v>197</v>
      </c>
      <c r="C135">
        <v>-2.0680000000000001</v>
      </c>
    </row>
    <row r="136" spans="1:3" x14ac:dyDescent="0.25">
      <c r="A136">
        <v>1103</v>
      </c>
      <c r="B136" t="s">
        <v>199</v>
      </c>
      <c r="C136">
        <v>-0.22961000000000001</v>
      </c>
    </row>
    <row r="137" spans="1:3" x14ac:dyDescent="0.25">
      <c r="A137">
        <v>1104</v>
      </c>
      <c r="B137" t="s">
        <v>201</v>
      </c>
      <c r="C137">
        <v>-3.5840000000000001</v>
      </c>
    </row>
    <row r="138" spans="1:3" x14ac:dyDescent="0.25">
      <c r="A138">
        <v>1105</v>
      </c>
      <c r="B138" t="s">
        <v>203</v>
      </c>
      <c r="C138">
        <v>-3.5451000000000001</v>
      </c>
    </row>
    <row r="139" spans="1:3" x14ac:dyDescent="0.25">
      <c r="A139">
        <v>1142</v>
      </c>
      <c r="B139" t="s">
        <v>205</v>
      </c>
      <c r="C139">
        <v>0.51615</v>
      </c>
    </row>
    <row r="140" spans="1:3" x14ac:dyDescent="0.25">
      <c r="A140">
        <v>1143</v>
      </c>
      <c r="B140" t="s">
        <v>207</v>
      </c>
      <c r="C140">
        <v>5.9486999999999998E-2</v>
      </c>
    </row>
    <row r="141" spans="1:3" x14ac:dyDescent="0.25">
      <c r="A141">
        <v>1161</v>
      </c>
      <c r="B141" t="s">
        <v>209</v>
      </c>
      <c r="C141">
        <v>6.2872999999999998E-2</v>
      </c>
    </row>
    <row r="142" spans="1:3" x14ac:dyDescent="0.25">
      <c r="A142">
        <v>1200</v>
      </c>
      <c r="B142" t="s">
        <v>211</v>
      </c>
      <c r="C142">
        <v>-2.7092000000000001</v>
      </c>
    </row>
    <row r="143" spans="1:3" x14ac:dyDescent="0.25">
      <c r="A143">
        <v>1227</v>
      </c>
      <c r="B143" t="s">
        <v>213</v>
      </c>
      <c r="C143">
        <v>-3.1560000000000001</v>
      </c>
    </row>
    <row r="144" spans="1:3" x14ac:dyDescent="0.25">
      <c r="A144">
        <v>1269</v>
      </c>
      <c r="B144" t="s">
        <v>258</v>
      </c>
      <c r="C144">
        <v>-4.0907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40DA-A676-4D51-9E08-D58CD66C6A9E}">
  <dimension ref="A1:L103"/>
  <sheetViews>
    <sheetView workbookViewId="0">
      <selection activeCell="K47" sqref="K4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5</v>
      </c>
      <c r="D1" t="s">
        <v>6</v>
      </c>
      <c r="E1" t="s">
        <v>264</v>
      </c>
      <c r="G1" t="s">
        <v>0</v>
      </c>
      <c r="H1" t="s">
        <v>215</v>
      </c>
      <c r="I1" t="s">
        <v>216</v>
      </c>
      <c r="J1" t="s">
        <v>264</v>
      </c>
    </row>
    <row r="2" spans="1:12" x14ac:dyDescent="0.25">
      <c r="A2">
        <v>1</v>
      </c>
      <c r="B2" t="s">
        <v>7</v>
      </c>
      <c r="C2" t="s">
        <v>9</v>
      </c>
      <c r="D2">
        <v>0.38655689399999998</v>
      </c>
      <c r="E2">
        <v>0</v>
      </c>
      <c r="G2">
        <v>1</v>
      </c>
      <c r="H2" t="s">
        <v>8</v>
      </c>
      <c r="I2">
        <v>-5.1893000000000002</v>
      </c>
      <c r="J2">
        <f>IF(I2&gt;0,1,0)</f>
        <v>0</v>
      </c>
      <c r="K2">
        <f>IF(E2=J2,1,0)</f>
        <v>1</v>
      </c>
      <c r="L2">
        <f>AVERAGE(K2:K103)*100</f>
        <v>96.078431372549019</v>
      </c>
    </row>
    <row r="3" spans="1:12" x14ac:dyDescent="0.25">
      <c r="A3">
        <v>22</v>
      </c>
      <c r="B3" t="s">
        <v>10</v>
      </c>
      <c r="C3" t="s">
        <v>12</v>
      </c>
      <c r="D3">
        <v>0.12724651400000001</v>
      </c>
      <c r="E3">
        <v>1</v>
      </c>
      <c r="G3">
        <v>22</v>
      </c>
      <c r="H3" t="s">
        <v>11</v>
      </c>
      <c r="I3">
        <v>1.2638</v>
      </c>
      <c r="J3">
        <f t="shared" ref="J3:J66" si="0">IF(I3&gt;0,1,0)</f>
        <v>1</v>
      </c>
      <c r="K3">
        <f t="shared" ref="K3:K66" si="1">IF(E3=J3,1,0)</f>
        <v>1</v>
      </c>
    </row>
    <row r="4" spans="1:12" x14ac:dyDescent="0.25">
      <c r="A4">
        <v>61</v>
      </c>
      <c r="B4" t="s">
        <v>13</v>
      </c>
      <c r="C4" t="s">
        <v>15</v>
      </c>
      <c r="D4">
        <v>0.24918168800000001</v>
      </c>
      <c r="E4">
        <v>0</v>
      </c>
      <c r="G4">
        <v>61</v>
      </c>
      <c r="H4" t="s">
        <v>14</v>
      </c>
      <c r="I4">
        <v>-1.2196</v>
      </c>
      <c r="J4">
        <f t="shared" si="0"/>
        <v>0</v>
      </c>
      <c r="K4">
        <f t="shared" si="1"/>
        <v>1</v>
      </c>
    </row>
    <row r="5" spans="1:12" x14ac:dyDescent="0.25">
      <c r="A5">
        <v>94</v>
      </c>
      <c r="B5" t="s">
        <v>16</v>
      </c>
      <c r="C5" t="s">
        <v>9</v>
      </c>
      <c r="D5">
        <v>0.90267550900000004</v>
      </c>
      <c r="E5">
        <v>0</v>
      </c>
      <c r="G5">
        <v>94</v>
      </c>
      <c r="H5" t="s">
        <v>17</v>
      </c>
      <c r="I5">
        <v>-1.8774999999999999</v>
      </c>
      <c r="J5">
        <f t="shared" si="0"/>
        <v>0</v>
      </c>
      <c r="K5">
        <f t="shared" si="1"/>
        <v>1</v>
      </c>
    </row>
    <row r="6" spans="1:12" x14ac:dyDescent="0.25">
      <c r="A6">
        <v>95</v>
      </c>
      <c r="B6" t="s">
        <v>18</v>
      </c>
      <c r="C6" t="s">
        <v>9</v>
      </c>
      <c r="D6">
        <v>0.434499680995941</v>
      </c>
      <c r="E6">
        <v>1</v>
      </c>
      <c r="G6">
        <v>95</v>
      </c>
      <c r="H6" t="s">
        <v>19</v>
      </c>
      <c r="I6">
        <v>1.2451000000000001</v>
      </c>
      <c r="J6">
        <f t="shared" si="0"/>
        <v>1</v>
      </c>
      <c r="K6">
        <f t="shared" si="1"/>
        <v>1</v>
      </c>
    </row>
    <row r="7" spans="1:12" x14ac:dyDescent="0.25">
      <c r="A7">
        <v>147</v>
      </c>
      <c r="B7" t="s">
        <v>20</v>
      </c>
      <c r="C7" t="s">
        <v>12</v>
      </c>
      <c r="D7">
        <v>0.185606569051742</v>
      </c>
      <c r="E7">
        <v>1</v>
      </c>
      <c r="G7">
        <v>147</v>
      </c>
      <c r="H7" t="s">
        <v>21</v>
      </c>
      <c r="I7">
        <v>1.3428</v>
      </c>
      <c r="J7">
        <f t="shared" si="0"/>
        <v>1</v>
      </c>
      <c r="K7">
        <f t="shared" si="1"/>
        <v>1</v>
      </c>
    </row>
    <row r="8" spans="1:12" x14ac:dyDescent="0.25">
      <c r="A8">
        <v>213</v>
      </c>
      <c r="B8" t="s">
        <v>22</v>
      </c>
      <c r="C8" t="s">
        <v>12</v>
      </c>
      <c r="D8">
        <v>0.15513634700000001</v>
      </c>
      <c r="E8">
        <v>1</v>
      </c>
      <c r="G8">
        <v>213</v>
      </c>
      <c r="H8" t="s">
        <v>23</v>
      </c>
      <c r="I8">
        <v>0.53178999999999998</v>
      </c>
      <c r="J8">
        <f t="shared" si="0"/>
        <v>1</v>
      </c>
      <c r="K8">
        <f t="shared" si="1"/>
        <v>1</v>
      </c>
    </row>
    <row r="9" spans="1:12" x14ac:dyDescent="0.25">
      <c r="A9">
        <v>213</v>
      </c>
      <c r="B9" t="s">
        <v>24</v>
      </c>
      <c r="C9" t="s">
        <v>12</v>
      </c>
      <c r="D9">
        <v>0.175326868891716</v>
      </c>
      <c r="E9">
        <v>1</v>
      </c>
      <c r="G9">
        <v>213</v>
      </c>
      <c r="H9" t="s">
        <v>25</v>
      </c>
      <c r="I9">
        <v>6.6678000000000001E-2</v>
      </c>
      <c r="J9">
        <f t="shared" si="0"/>
        <v>1</v>
      </c>
      <c r="K9">
        <f t="shared" si="1"/>
        <v>1</v>
      </c>
    </row>
    <row r="10" spans="1:12" x14ac:dyDescent="0.25">
      <c r="A10">
        <v>243</v>
      </c>
      <c r="B10" t="s">
        <v>26</v>
      </c>
      <c r="C10" t="s">
        <v>9</v>
      </c>
      <c r="D10">
        <v>0.827328324</v>
      </c>
      <c r="E10">
        <v>0</v>
      </c>
      <c r="G10">
        <v>243</v>
      </c>
      <c r="H10" t="s">
        <v>27</v>
      </c>
      <c r="I10">
        <v>-1.0813999999999999</v>
      </c>
      <c r="J10">
        <f t="shared" si="0"/>
        <v>0</v>
      </c>
      <c r="K10">
        <f t="shared" si="1"/>
        <v>1</v>
      </c>
    </row>
    <row r="11" spans="1:12" x14ac:dyDescent="0.25">
      <c r="A11">
        <v>319</v>
      </c>
      <c r="B11" t="s">
        <v>28</v>
      </c>
      <c r="C11" t="s">
        <v>15</v>
      </c>
      <c r="D11">
        <v>0.239033625</v>
      </c>
      <c r="E11">
        <v>0</v>
      </c>
      <c r="G11">
        <v>319</v>
      </c>
      <c r="H11" t="s">
        <v>29</v>
      </c>
      <c r="I11">
        <v>-2.661</v>
      </c>
      <c r="J11">
        <f t="shared" si="0"/>
        <v>0</v>
      </c>
      <c r="K11">
        <f t="shared" si="1"/>
        <v>1</v>
      </c>
    </row>
    <row r="12" spans="1:12" x14ac:dyDescent="0.25">
      <c r="A12">
        <v>327</v>
      </c>
      <c r="B12" t="s">
        <v>30</v>
      </c>
      <c r="C12" t="s">
        <v>9</v>
      </c>
      <c r="D12">
        <v>0.45070305500000002</v>
      </c>
      <c r="E12">
        <v>0</v>
      </c>
      <c r="G12">
        <v>327</v>
      </c>
      <c r="H12" t="s">
        <v>31</v>
      </c>
      <c r="I12">
        <v>-1.9744999999999999</v>
      </c>
      <c r="J12">
        <f t="shared" si="0"/>
        <v>0</v>
      </c>
      <c r="K12">
        <f t="shared" si="1"/>
        <v>1</v>
      </c>
    </row>
    <row r="13" spans="1:12" x14ac:dyDescent="0.25">
      <c r="A13">
        <v>328</v>
      </c>
      <c r="B13" t="s">
        <v>32</v>
      </c>
      <c r="C13" t="s">
        <v>9</v>
      </c>
      <c r="D13">
        <v>0.87077069299999998</v>
      </c>
      <c r="E13">
        <v>0</v>
      </c>
      <c r="G13">
        <v>328</v>
      </c>
      <c r="H13" t="s">
        <v>33</v>
      </c>
      <c r="I13">
        <v>-6.6657999999999999</v>
      </c>
      <c r="J13">
        <f t="shared" si="0"/>
        <v>0</v>
      </c>
      <c r="K13">
        <f t="shared" si="1"/>
        <v>1</v>
      </c>
    </row>
    <row r="14" spans="1:12" x14ac:dyDescent="0.25">
      <c r="A14">
        <v>333</v>
      </c>
      <c r="B14" t="s">
        <v>34</v>
      </c>
      <c r="C14" t="s">
        <v>12</v>
      </c>
      <c r="D14">
        <v>0.211336002</v>
      </c>
      <c r="E14">
        <v>0</v>
      </c>
      <c r="G14">
        <v>333</v>
      </c>
      <c r="H14" t="s">
        <v>35</v>
      </c>
      <c r="I14">
        <v>-2.4464999999999999</v>
      </c>
      <c r="J14">
        <f t="shared" si="0"/>
        <v>0</v>
      </c>
      <c r="K14">
        <f t="shared" si="1"/>
        <v>1</v>
      </c>
    </row>
    <row r="15" spans="1:12" x14ac:dyDescent="0.25">
      <c r="A15">
        <v>342</v>
      </c>
      <c r="B15" t="s">
        <v>36</v>
      </c>
      <c r="C15" t="s">
        <v>9</v>
      </c>
      <c r="D15">
        <v>0.85913509099999996</v>
      </c>
      <c r="E15">
        <v>0</v>
      </c>
      <c r="G15">
        <v>342</v>
      </c>
      <c r="H15" t="s">
        <v>37</v>
      </c>
      <c r="I15">
        <v>-1.5466</v>
      </c>
      <c r="J15">
        <f t="shared" si="0"/>
        <v>0</v>
      </c>
      <c r="K15">
        <f t="shared" si="1"/>
        <v>1</v>
      </c>
    </row>
    <row r="16" spans="1:12" x14ac:dyDescent="0.25">
      <c r="A16">
        <v>347</v>
      </c>
      <c r="B16" t="s">
        <v>38</v>
      </c>
      <c r="C16" t="s">
        <v>9</v>
      </c>
      <c r="D16">
        <v>0.64331322899999999</v>
      </c>
      <c r="E16">
        <v>0</v>
      </c>
      <c r="G16">
        <v>347</v>
      </c>
      <c r="H16" t="s">
        <v>39</v>
      </c>
      <c r="I16">
        <v>-3.0078999999999998</v>
      </c>
      <c r="J16">
        <f t="shared" si="0"/>
        <v>0</v>
      </c>
      <c r="K16">
        <f t="shared" si="1"/>
        <v>1</v>
      </c>
    </row>
    <row r="17" spans="1:11" x14ac:dyDescent="0.25">
      <c r="A17">
        <v>358</v>
      </c>
      <c r="B17" t="s">
        <v>40</v>
      </c>
      <c r="C17" t="s">
        <v>9</v>
      </c>
      <c r="D17">
        <v>0.83794081200000003</v>
      </c>
      <c r="E17">
        <v>0</v>
      </c>
      <c r="G17">
        <v>358</v>
      </c>
      <c r="H17" t="s">
        <v>41</v>
      </c>
      <c r="I17">
        <v>-3.1560000000000001</v>
      </c>
      <c r="J17">
        <f t="shared" si="0"/>
        <v>0</v>
      </c>
      <c r="K17">
        <f t="shared" si="1"/>
        <v>1</v>
      </c>
    </row>
    <row r="18" spans="1:11" x14ac:dyDescent="0.25">
      <c r="A18">
        <v>408</v>
      </c>
      <c r="B18" t="s">
        <v>42</v>
      </c>
      <c r="C18" t="s">
        <v>15</v>
      </c>
      <c r="D18">
        <v>0.24432642800000001</v>
      </c>
      <c r="E18">
        <v>1</v>
      </c>
      <c r="G18">
        <v>408</v>
      </c>
      <c r="H18" t="s">
        <v>43</v>
      </c>
      <c r="I18">
        <v>1.2226999999999999</v>
      </c>
      <c r="J18">
        <f t="shared" si="0"/>
        <v>1</v>
      </c>
      <c r="K18">
        <f t="shared" si="1"/>
        <v>1</v>
      </c>
    </row>
    <row r="19" spans="1:11" x14ac:dyDescent="0.25">
      <c r="A19">
        <v>446</v>
      </c>
      <c r="B19" t="s">
        <v>44</v>
      </c>
      <c r="C19" t="s">
        <v>9</v>
      </c>
      <c r="D19">
        <v>0.350316882</v>
      </c>
      <c r="E19">
        <v>1</v>
      </c>
      <c r="G19">
        <v>446</v>
      </c>
      <c r="H19" t="s">
        <v>45</v>
      </c>
      <c r="I19">
        <v>1.4892000000000001</v>
      </c>
      <c r="J19">
        <f t="shared" si="0"/>
        <v>1</v>
      </c>
      <c r="K19">
        <f t="shared" si="1"/>
        <v>1</v>
      </c>
    </row>
    <row r="20" spans="1:11" x14ac:dyDescent="0.25">
      <c r="A20">
        <v>454</v>
      </c>
      <c r="B20" t="s">
        <v>46</v>
      </c>
      <c r="C20" t="s">
        <v>9</v>
      </c>
      <c r="D20">
        <v>0.90893238799999998</v>
      </c>
      <c r="E20">
        <v>0</v>
      </c>
      <c r="G20">
        <v>454</v>
      </c>
      <c r="H20" t="s">
        <v>47</v>
      </c>
      <c r="I20">
        <v>-5.1893000000000002</v>
      </c>
      <c r="J20">
        <f t="shared" si="0"/>
        <v>0</v>
      </c>
      <c r="K20">
        <f t="shared" si="1"/>
        <v>1</v>
      </c>
    </row>
    <row r="21" spans="1:11" x14ac:dyDescent="0.25">
      <c r="A21">
        <v>457</v>
      </c>
      <c r="B21" t="s">
        <v>48</v>
      </c>
      <c r="C21" t="s">
        <v>9</v>
      </c>
      <c r="D21">
        <v>0.88046175199999999</v>
      </c>
      <c r="E21">
        <v>0</v>
      </c>
      <c r="G21">
        <v>457</v>
      </c>
      <c r="H21" t="s">
        <v>49</v>
      </c>
      <c r="I21">
        <v>-3.9577</v>
      </c>
      <c r="J21">
        <f t="shared" si="0"/>
        <v>0</v>
      </c>
      <c r="K21">
        <f t="shared" si="1"/>
        <v>1</v>
      </c>
    </row>
    <row r="22" spans="1:11" x14ac:dyDescent="0.25">
      <c r="A22">
        <v>477</v>
      </c>
      <c r="B22" t="s">
        <v>50</v>
      </c>
      <c r="C22" t="s">
        <v>9</v>
      </c>
      <c r="D22">
        <v>0.372346699</v>
      </c>
      <c r="E22">
        <v>1</v>
      </c>
      <c r="G22">
        <v>477</v>
      </c>
      <c r="H22" t="s">
        <v>51</v>
      </c>
      <c r="I22">
        <v>0.96450999999999998</v>
      </c>
      <c r="J22">
        <f t="shared" si="0"/>
        <v>1</v>
      </c>
      <c r="K22">
        <f t="shared" si="1"/>
        <v>1</v>
      </c>
    </row>
    <row r="23" spans="1:11" x14ac:dyDescent="0.25">
      <c r="A23">
        <v>485</v>
      </c>
      <c r="B23" t="s">
        <v>52</v>
      </c>
      <c r="C23" t="s">
        <v>9</v>
      </c>
      <c r="D23">
        <v>0.70121491000000002</v>
      </c>
      <c r="E23">
        <v>0</v>
      </c>
      <c r="G23">
        <v>485</v>
      </c>
      <c r="H23" t="s">
        <v>53</v>
      </c>
      <c r="I23">
        <v>-0.85089999999999999</v>
      </c>
      <c r="J23">
        <f t="shared" si="0"/>
        <v>0</v>
      </c>
      <c r="K23">
        <f t="shared" si="1"/>
        <v>1</v>
      </c>
    </row>
    <row r="24" spans="1:11" x14ac:dyDescent="0.25">
      <c r="A24">
        <v>498</v>
      </c>
      <c r="B24" t="s">
        <v>54</v>
      </c>
      <c r="C24" t="s">
        <v>9</v>
      </c>
      <c r="D24">
        <v>0.52463465929031305</v>
      </c>
      <c r="E24">
        <v>0</v>
      </c>
      <c r="G24">
        <v>498</v>
      </c>
      <c r="H24" t="s">
        <v>55</v>
      </c>
      <c r="I24">
        <v>-1.6077999999999999</v>
      </c>
      <c r="J24">
        <f t="shared" si="0"/>
        <v>0</v>
      </c>
      <c r="K24">
        <f t="shared" si="1"/>
        <v>1</v>
      </c>
    </row>
    <row r="25" spans="1:11" x14ac:dyDescent="0.25">
      <c r="A25">
        <v>501</v>
      </c>
      <c r="B25" t="s">
        <v>56</v>
      </c>
      <c r="C25" t="s">
        <v>9</v>
      </c>
      <c r="D25">
        <v>0.83992659999999997</v>
      </c>
      <c r="E25">
        <v>1</v>
      </c>
      <c r="G25">
        <v>501</v>
      </c>
      <c r="H25" t="s">
        <v>57</v>
      </c>
      <c r="I25">
        <v>3.1341999999999999</v>
      </c>
      <c r="J25">
        <f t="shared" si="0"/>
        <v>1</v>
      </c>
      <c r="K25">
        <f t="shared" si="1"/>
        <v>1</v>
      </c>
    </row>
    <row r="26" spans="1:11" x14ac:dyDescent="0.25">
      <c r="A26">
        <v>553</v>
      </c>
      <c r="B26" t="s">
        <v>58</v>
      </c>
      <c r="C26" t="s">
        <v>9</v>
      </c>
      <c r="D26">
        <v>0.72894477800000002</v>
      </c>
      <c r="E26">
        <v>0</v>
      </c>
      <c r="G26">
        <v>553</v>
      </c>
      <c r="H26" t="s">
        <v>59</v>
      </c>
      <c r="I26">
        <v>-1.1535</v>
      </c>
      <c r="J26">
        <f t="shared" si="0"/>
        <v>0</v>
      </c>
      <c r="K26">
        <f t="shared" si="1"/>
        <v>1</v>
      </c>
    </row>
    <row r="27" spans="1:11" x14ac:dyDescent="0.25">
      <c r="A27">
        <v>555</v>
      </c>
      <c r="B27" t="s">
        <v>60</v>
      </c>
      <c r="C27" t="s">
        <v>9</v>
      </c>
      <c r="D27">
        <v>0.56890749900000004</v>
      </c>
      <c r="E27">
        <v>0</v>
      </c>
      <c r="G27">
        <v>555</v>
      </c>
      <c r="H27" t="s">
        <v>61</v>
      </c>
      <c r="I27">
        <v>-5.0433000000000003</v>
      </c>
      <c r="J27">
        <f t="shared" si="0"/>
        <v>0</v>
      </c>
      <c r="K27">
        <f t="shared" si="1"/>
        <v>1</v>
      </c>
    </row>
    <row r="28" spans="1:11" x14ac:dyDescent="0.25">
      <c r="A28">
        <v>570</v>
      </c>
      <c r="B28" t="s">
        <v>62</v>
      </c>
      <c r="C28" t="s">
        <v>12</v>
      </c>
      <c r="D28">
        <v>0.19349439399999999</v>
      </c>
      <c r="E28">
        <v>1</v>
      </c>
      <c r="G28">
        <v>570</v>
      </c>
      <c r="H28" t="s">
        <v>63</v>
      </c>
      <c r="I28">
        <v>-0.63104000000000005</v>
      </c>
      <c r="J28">
        <f t="shared" si="0"/>
        <v>0</v>
      </c>
      <c r="K28">
        <f t="shared" si="1"/>
        <v>0</v>
      </c>
    </row>
    <row r="29" spans="1:11" x14ac:dyDescent="0.25">
      <c r="A29">
        <v>571</v>
      </c>
      <c r="B29" t="s">
        <v>64</v>
      </c>
      <c r="C29" t="s">
        <v>9</v>
      </c>
      <c r="D29">
        <v>0.66116434300000004</v>
      </c>
      <c r="E29">
        <v>0</v>
      </c>
      <c r="G29">
        <v>571</v>
      </c>
      <c r="H29" t="s">
        <v>65</v>
      </c>
      <c r="I29">
        <v>-2.8511000000000002</v>
      </c>
      <c r="J29">
        <f t="shared" si="0"/>
        <v>0</v>
      </c>
      <c r="K29">
        <f t="shared" si="1"/>
        <v>1</v>
      </c>
    </row>
    <row r="30" spans="1:11" x14ac:dyDescent="0.25">
      <c r="A30">
        <v>605</v>
      </c>
      <c r="B30" t="s">
        <v>66</v>
      </c>
      <c r="C30" t="s">
        <v>9</v>
      </c>
      <c r="D30">
        <v>0.42658326000000002</v>
      </c>
      <c r="E30">
        <v>0</v>
      </c>
      <c r="G30">
        <v>605</v>
      </c>
      <c r="H30" t="s">
        <v>67</v>
      </c>
      <c r="I30">
        <v>-3.4868999999999999</v>
      </c>
      <c r="J30">
        <f t="shared" si="0"/>
        <v>0</v>
      </c>
      <c r="K30">
        <f t="shared" si="1"/>
        <v>1</v>
      </c>
    </row>
    <row r="31" spans="1:11" x14ac:dyDescent="0.25">
      <c r="A31">
        <v>613</v>
      </c>
      <c r="B31" t="s">
        <v>68</v>
      </c>
      <c r="C31" t="s">
        <v>12</v>
      </c>
      <c r="D31">
        <v>0.205209851</v>
      </c>
      <c r="E31">
        <v>1</v>
      </c>
      <c r="G31">
        <v>613</v>
      </c>
      <c r="H31" t="s">
        <v>69</v>
      </c>
      <c r="I31">
        <v>1.3399000000000001</v>
      </c>
      <c r="J31">
        <f t="shared" si="0"/>
        <v>1</v>
      </c>
      <c r="K31">
        <f t="shared" si="1"/>
        <v>1</v>
      </c>
    </row>
    <row r="32" spans="1:11" x14ac:dyDescent="0.25">
      <c r="A32">
        <v>614</v>
      </c>
      <c r="B32" t="s">
        <v>70</v>
      </c>
      <c r="C32" t="s">
        <v>12</v>
      </c>
      <c r="D32">
        <v>0.21420699400000001</v>
      </c>
      <c r="E32">
        <v>1</v>
      </c>
      <c r="G32">
        <v>614</v>
      </c>
      <c r="H32" t="s">
        <v>71</v>
      </c>
      <c r="I32" t="s">
        <v>219</v>
      </c>
      <c r="J32">
        <f t="shared" si="0"/>
        <v>1</v>
      </c>
      <c r="K32">
        <f t="shared" si="1"/>
        <v>1</v>
      </c>
    </row>
    <row r="33" spans="1:11" x14ac:dyDescent="0.25">
      <c r="A33">
        <v>621</v>
      </c>
      <c r="B33" t="s">
        <v>72</v>
      </c>
      <c r="C33" t="s">
        <v>9</v>
      </c>
      <c r="D33">
        <v>0.63328057500000001</v>
      </c>
      <c r="E33">
        <v>1</v>
      </c>
      <c r="G33">
        <v>621</v>
      </c>
      <c r="H33" t="s">
        <v>73</v>
      </c>
      <c r="I33">
        <v>0.20036000000000001</v>
      </c>
      <c r="J33">
        <f t="shared" si="0"/>
        <v>1</v>
      </c>
      <c r="K33">
        <f t="shared" si="1"/>
        <v>1</v>
      </c>
    </row>
    <row r="34" spans="1:11" x14ac:dyDescent="0.25">
      <c r="A34">
        <v>655</v>
      </c>
      <c r="B34" t="s">
        <v>74</v>
      </c>
      <c r="C34" t="s">
        <v>15</v>
      </c>
      <c r="D34">
        <v>0.26556816700000002</v>
      </c>
      <c r="E34">
        <v>1</v>
      </c>
      <c r="G34">
        <v>655</v>
      </c>
      <c r="H34" t="s">
        <v>75</v>
      </c>
      <c r="I34">
        <v>1.2056</v>
      </c>
      <c r="J34">
        <f t="shared" si="0"/>
        <v>1</v>
      </c>
      <c r="K34">
        <f t="shared" si="1"/>
        <v>1</v>
      </c>
    </row>
    <row r="35" spans="1:11" x14ac:dyDescent="0.25">
      <c r="A35">
        <v>665</v>
      </c>
      <c r="B35" t="s">
        <v>76</v>
      </c>
      <c r="C35" t="s">
        <v>15</v>
      </c>
      <c r="D35">
        <v>0.25166925800000001</v>
      </c>
      <c r="E35">
        <v>0</v>
      </c>
      <c r="G35">
        <v>665</v>
      </c>
      <c r="H35" t="s">
        <v>77</v>
      </c>
      <c r="I35">
        <v>-7.2404999999999999</v>
      </c>
      <c r="J35">
        <f t="shared" si="0"/>
        <v>0</v>
      </c>
      <c r="K35">
        <f t="shared" si="1"/>
        <v>1</v>
      </c>
    </row>
    <row r="36" spans="1:11" x14ac:dyDescent="0.25">
      <c r="A36">
        <v>678</v>
      </c>
      <c r="B36" t="s">
        <v>78</v>
      </c>
      <c r="C36" t="s">
        <v>12</v>
      </c>
      <c r="D36">
        <v>0.111313753</v>
      </c>
      <c r="E36">
        <v>0</v>
      </c>
      <c r="G36">
        <v>678</v>
      </c>
      <c r="H36" t="s">
        <v>79</v>
      </c>
      <c r="I36">
        <v>0.61077000000000004</v>
      </c>
      <c r="J36">
        <f t="shared" si="0"/>
        <v>1</v>
      </c>
      <c r="K36">
        <f t="shared" si="1"/>
        <v>0</v>
      </c>
    </row>
    <row r="37" spans="1:11" x14ac:dyDescent="0.25">
      <c r="A37">
        <v>679</v>
      </c>
      <c r="B37" t="s">
        <v>80</v>
      </c>
      <c r="C37" t="s">
        <v>12</v>
      </c>
      <c r="D37">
        <v>0.12814924120903001</v>
      </c>
      <c r="E37">
        <v>1</v>
      </c>
      <c r="G37">
        <v>679</v>
      </c>
      <c r="H37" t="s">
        <v>81</v>
      </c>
      <c r="I37">
        <v>2.9422999999999999</v>
      </c>
      <c r="J37">
        <f t="shared" si="0"/>
        <v>1</v>
      </c>
      <c r="K37">
        <f t="shared" si="1"/>
        <v>1</v>
      </c>
    </row>
    <row r="38" spans="1:11" x14ac:dyDescent="0.25">
      <c r="A38">
        <v>681</v>
      </c>
      <c r="B38" t="s">
        <v>82</v>
      </c>
      <c r="C38" t="s">
        <v>12</v>
      </c>
      <c r="D38">
        <v>9.4339586794376304E-2</v>
      </c>
      <c r="E38">
        <v>1</v>
      </c>
      <c r="G38">
        <v>681</v>
      </c>
      <c r="H38" t="s">
        <v>83</v>
      </c>
      <c r="I38">
        <v>3.8472</v>
      </c>
      <c r="J38">
        <f t="shared" si="0"/>
        <v>1</v>
      </c>
      <c r="K38">
        <f t="shared" si="1"/>
        <v>1</v>
      </c>
    </row>
    <row r="39" spans="1:11" x14ac:dyDescent="0.25">
      <c r="A39">
        <v>681</v>
      </c>
      <c r="B39" t="s">
        <v>84</v>
      </c>
      <c r="C39" t="s">
        <v>12</v>
      </c>
      <c r="D39">
        <v>0.103325314819812</v>
      </c>
      <c r="E39">
        <v>1</v>
      </c>
      <c r="G39">
        <v>681</v>
      </c>
      <c r="H39" t="s">
        <v>85</v>
      </c>
      <c r="I39">
        <v>3.8673999999999999</v>
      </c>
      <c r="J39">
        <f t="shared" si="0"/>
        <v>1</v>
      </c>
      <c r="K39">
        <f t="shared" si="1"/>
        <v>1</v>
      </c>
    </row>
    <row r="40" spans="1:11" x14ac:dyDescent="0.25">
      <c r="A40">
        <v>690</v>
      </c>
      <c r="B40" t="s">
        <v>86</v>
      </c>
      <c r="C40" t="s">
        <v>9</v>
      </c>
      <c r="D40">
        <v>0.42988741400000002</v>
      </c>
      <c r="E40">
        <v>0</v>
      </c>
      <c r="G40">
        <v>690</v>
      </c>
      <c r="H40" t="s">
        <v>87</v>
      </c>
      <c r="I40">
        <v>-1.0302</v>
      </c>
      <c r="J40">
        <f t="shared" si="0"/>
        <v>0</v>
      </c>
      <c r="K40">
        <f t="shared" si="1"/>
        <v>1</v>
      </c>
    </row>
    <row r="41" spans="1:11" x14ac:dyDescent="0.25">
      <c r="A41">
        <v>700</v>
      </c>
      <c r="B41" t="s">
        <v>88</v>
      </c>
      <c r="C41" t="s">
        <v>9</v>
      </c>
      <c r="D41">
        <v>0.59850049000000005</v>
      </c>
      <c r="E41">
        <v>0</v>
      </c>
      <c r="G41">
        <v>700</v>
      </c>
      <c r="H41" t="s">
        <v>89</v>
      </c>
      <c r="I41">
        <v>-4.2679</v>
      </c>
      <c r="J41">
        <f t="shared" si="0"/>
        <v>0</v>
      </c>
      <c r="K41">
        <f t="shared" si="1"/>
        <v>1</v>
      </c>
    </row>
    <row r="42" spans="1:11" x14ac:dyDescent="0.25">
      <c r="A42">
        <v>701</v>
      </c>
      <c r="B42" t="s">
        <v>90</v>
      </c>
      <c r="C42" t="s">
        <v>12</v>
      </c>
      <c r="D42">
        <v>0.158111528</v>
      </c>
      <c r="E42">
        <v>1</v>
      </c>
      <c r="G42">
        <v>701</v>
      </c>
      <c r="H42" t="s">
        <v>91</v>
      </c>
      <c r="I42">
        <v>0.68862999999999996</v>
      </c>
      <c r="J42">
        <f t="shared" si="0"/>
        <v>1</v>
      </c>
      <c r="K42">
        <f t="shared" si="1"/>
        <v>1</v>
      </c>
    </row>
    <row r="43" spans="1:11" x14ac:dyDescent="0.25">
      <c r="A43">
        <v>704</v>
      </c>
      <c r="B43" t="s">
        <v>92</v>
      </c>
      <c r="C43" t="s">
        <v>12</v>
      </c>
      <c r="D43">
        <v>0.11862323399999999</v>
      </c>
      <c r="E43">
        <v>1</v>
      </c>
      <c r="G43">
        <v>704</v>
      </c>
      <c r="H43" t="s">
        <v>93</v>
      </c>
      <c r="I43">
        <v>0.98680000000000001</v>
      </c>
      <c r="J43">
        <f t="shared" si="0"/>
        <v>1</v>
      </c>
      <c r="K43">
        <f t="shared" si="1"/>
        <v>1</v>
      </c>
    </row>
    <row r="44" spans="1:11" x14ac:dyDescent="0.25">
      <c r="A44">
        <v>710</v>
      </c>
      <c r="B44" t="s">
        <v>94</v>
      </c>
      <c r="C44" t="s">
        <v>9</v>
      </c>
      <c r="D44">
        <v>0.35044389999999997</v>
      </c>
      <c r="E44">
        <v>0</v>
      </c>
      <c r="G44">
        <v>710</v>
      </c>
      <c r="H44" t="s">
        <v>95</v>
      </c>
      <c r="I44">
        <v>-2.3403</v>
      </c>
      <c r="J44">
        <f t="shared" si="0"/>
        <v>0</v>
      </c>
      <c r="K44">
        <f t="shared" si="1"/>
        <v>1</v>
      </c>
    </row>
    <row r="45" spans="1:11" x14ac:dyDescent="0.25">
      <c r="A45">
        <v>795</v>
      </c>
      <c r="B45" t="s">
        <v>96</v>
      </c>
      <c r="C45" t="s">
        <v>9</v>
      </c>
      <c r="D45">
        <v>0.60322785400000001</v>
      </c>
      <c r="E45">
        <v>0</v>
      </c>
      <c r="G45">
        <v>795</v>
      </c>
      <c r="H45" t="s">
        <v>97</v>
      </c>
      <c r="I45">
        <v>-0.65666999999999998</v>
      </c>
      <c r="J45">
        <f t="shared" si="0"/>
        <v>0</v>
      </c>
      <c r="K45">
        <f t="shared" si="1"/>
        <v>1</v>
      </c>
    </row>
    <row r="46" spans="1:11" x14ac:dyDescent="0.25">
      <c r="A46">
        <v>832</v>
      </c>
      <c r="B46" t="s">
        <v>98</v>
      </c>
      <c r="C46" t="s">
        <v>12</v>
      </c>
      <c r="D46">
        <v>0.13643793800000001</v>
      </c>
      <c r="E46">
        <v>0</v>
      </c>
      <c r="G46">
        <v>832</v>
      </c>
      <c r="H46" t="s">
        <v>99</v>
      </c>
      <c r="I46">
        <v>-1.3616999999999999</v>
      </c>
      <c r="J46">
        <f t="shared" si="0"/>
        <v>0</v>
      </c>
      <c r="K46">
        <f t="shared" si="1"/>
        <v>1</v>
      </c>
    </row>
    <row r="47" spans="1:11" x14ac:dyDescent="0.25">
      <c r="A47">
        <v>834</v>
      </c>
      <c r="B47" t="s">
        <v>100</v>
      </c>
      <c r="C47" t="s">
        <v>12</v>
      </c>
      <c r="D47">
        <v>0.13841535199999999</v>
      </c>
      <c r="E47">
        <v>0</v>
      </c>
      <c r="G47">
        <v>834</v>
      </c>
      <c r="H47" t="s">
        <v>101</v>
      </c>
      <c r="I47">
        <v>0.13037000000000001</v>
      </c>
      <c r="J47">
        <f t="shared" si="0"/>
        <v>1</v>
      </c>
      <c r="K47">
        <f t="shared" si="1"/>
        <v>0</v>
      </c>
    </row>
    <row r="48" spans="1:11" x14ac:dyDescent="0.25">
      <c r="A48">
        <v>835</v>
      </c>
      <c r="B48" t="s">
        <v>102</v>
      </c>
      <c r="C48" t="s">
        <v>9</v>
      </c>
      <c r="D48">
        <v>0.47549185199999999</v>
      </c>
      <c r="E48">
        <v>0</v>
      </c>
      <c r="G48">
        <v>835</v>
      </c>
      <c r="H48" t="s">
        <v>103</v>
      </c>
      <c r="I48">
        <v>-1.0165999999999999</v>
      </c>
      <c r="J48">
        <f t="shared" si="0"/>
        <v>0</v>
      </c>
      <c r="K48">
        <f t="shared" si="1"/>
        <v>1</v>
      </c>
    </row>
    <row r="49" spans="1:11" x14ac:dyDescent="0.25">
      <c r="A49">
        <v>844</v>
      </c>
      <c r="B49" t="s">
        <v>104</v>
      </c>
      <c r="C49" t="s">
        <v>12</v>
      </c>
      <c r="D49">
        <v>0.102812052</v>
      </c>
      <c r="E49">
        <v>1</v>
      </c>
      <c r="G49">
        <v>844</v>
      </c>
      <c r="H49" t="s">
        <v>105</v>
      </c>
      <c r="I49">
        <v>0.13983000000000001</v>
      </c>
      <c r="J49">
        <f t="shared" si="0"/>
        <v>1</v>
      </c>
      <c r="K49">
        <f t="shared" si="1"/>
        <v>1</v>
      </c>
    </row>
    <row r="50" spans="1:11" x14ac:dyDescent="0.25">
      <c r="A50">
        <v>845</v>
      </c>
      <c r="B50" t="s">
        <v>106</v>
      </c>
      <c r="C50" t="s">
        <v>12</v>
      </c>
      <c r="D50">
        <v>0.181074291</v>
      </c>
      <c r="E50">
        <v>1</v>
      </c>
      <c r="G50">
        <v>845</v>
      </c>
      <c r="H50" t="s">
        <v>107</v>
      </c>
      <c r="I50">
        <v>1.1894</v>
      </c>
      <c r="J50">
        <f t="shared" si="0"/>
        <v>1</v>
      </c>
      <c r="K50">
        <f t="shared" si="1"/>
        <v>1</v>
      </c>
    </row>
    <row r="51" spans="1:11" x14ac:dyDescent="0.25">
      <c r="A51">
        <v>849</v>
      </c>
      <c r="B51" t="s">
        <v>108</v>
      </c>
      <c r="C51" t="s">
        <v>15</v>
      </c>
      <c r="D51">
        <v>0.235977203</v>
      </c>
      <c r="E51">
        <v>0</v>
      </c>
      <c r="G51">
        <v>849</v>
      </c>
      <c r="H51" t="s">
        <v>109</v>
      </c>
      <c r="I51">
        <v>-3.5840000000000001</v>
      </c>
      <c r="J51">
        <f t="shared" si="0"/>
        <v>0</v>
      </c>
      <c r="K51">
        <f t="shared" si="1"/>
        <v>1</v>
      </c>
    </row>
    <row r="52" spans="1:11" x14ac:dyDescent="0.25">
      <c r="A52">
        <v>858</v>
      </c>
      <c r="B52" t="s">
        <v>110</v>
      </c>
      <c r="C52" t="s">
        <v>9</v>
      </c>
      <c r="D52">
        <v>0.76514655399999998</v>
      </c>
      <c r="E52">
        <v>0</v>
      </c>
      <c r="G52">
        <v>858</v>
      </c>
      <c r="H52" t="s">
        <v>111</v>
      </c>
      <c r="I52">
        <v>-1.6532</v>
      </c>
      <c r="J52">
        <f t="shared" si="0"/>
        <v>0</v>
      </c>
      <c r="K52">
        <f t="shared" si="1"/>
        <v>1</v>
      </c>
    </row>
    <row r="53" spans="1:11" x14ac:dyDescent="0.25">
      <c r="A53">
        <v>878</v>
      </c>
      <c r="B53" t="s">
        <v>112</v>
      </c>
      <c r="C53" t="s">
        <v>9</v>
      </c>
      <c r="D53">
        <v>0.85171866399999996</v>
      </c>
      <c r="E53">
        <v>0</v>
      </c>
      <c r="G53">
        <v>878</v>
      </c>
      <c r="H53" t="s">
        <v>113</v>
      </c>
      <c r="I53">
        <v>-1.7398</v>
      </c>
      <c r="J53">
        <f t="shared" si="0"/>
        <v>0</v>
      </c>
      <c r="K53">
        <f t="shared" si="1"/>
        <v>1</v>
      </c>
    </row>
    <row r="54" spans="1:11" x14ac:dyDescent="0.25">
      <c r="A54">
        <v>880</v>
      </c>
      <c r="B54" t="s">
        <v>114</v>
      </c>
      <c r="C54" t="s">
        <v>9</v>
      </c>
      <c r="D54">
        <v>0.344202071</v>
      </c>
      <c r="E54">
        <v>0</v>
      </c>
      <c r="G54">
        <v>880</v>
      </c>
      <c r="H54" t="s">
        <v>115</v>
      </c>
      <c r="I54">
        <v>-5.9568000000000003</v>
      </c>
      <c r="J54">
        <f t="shared" si="0"/>
        <v>0</v>
      </c>
      <c r="K54">
        <f t="shared" si="1"/>
        <v>1</v>
      </c>
    </row>
    <row r="55" spans="1:11" x14ac:dyDescent="0.25">
      <c r="A55">
        <v>889</v>
      </c>
      <c r="B55" t="s">
        <v>116</v>
      </c>
      <c r="C55" t="s">
        <v>9</v>
      </c>
      <c r="D55">
        <v>0.41242405799999998</v>
      </c>
      <c r="E55">
        <v>0</v>
      </c>
      <c r="G55">
        <v>889</v>
      </c>
      <c r="H55" t="s">
        <v>117</v>
      </c>
      <c r="I55">
        <v>-4.1007999999999996</v>
      </c>
      <c r="J55">
        <f t="shared" si="0"/>
        <v>0</v>
      </c>
      <c r="K55">
        <f t="shared" si="1"/>
        <v>1</v>
      </c>
    </row>
    <row r="56" spans="1:11" x14ac:dyDescent="0.25">
      <c r="A56">
        <v>891</v>
      </c>
      <c r="B56" t="s">
        <v>118</v>
      </c>
      <c r="C56" t="s">
        <v>9</v>
      </c>
      <c r="D56">
        <v>0.43065136700000001</v>
      </c>
      <c r="E56">
        <v>0</v>
      </c>
      <c r="G56">
        <v>891</v>
      </c>
      <c r="H56" t="s">
        <v>119</v>
      </c>
      <c r="I56">
        <v>-2.661</v>
      </c>
      <c r="J56">
        <f t="shared" si="0"/>
        <v>0</v>
      </c>
      <c r="K56">
        <f t="shared" si="1"/>
        <v>1</v>
      </c>
    </row>
    <row r="57" spans="1:11" x14ac:dyDescent="0.25">
      <c r="A57">
        <v>897</v>
      </c>
      <c r="B57" t="s">
        <v>120</v>
      </c>
      <c r="C57" t="s">
        <v>15</v>
      </c>
      <c r="D57">
        <v>0.24908873400000001</v>
      </c>
      <c r="E57">
        <v>0</v>
      </c>
      <c r="G57">
        <v>897</v>
      </c>
      <c r="H57" t="s">
        <v>121</v>
      </c>
      <c r="I57">
        <v>-4.5854999999999997</v>
      </c>
      <c r="J57">
        <f t="shared" si="0"/>
        <v>0</v>
      </c>
      <c r="K57">
        <f t="shared" si="1"/>
        <v>1</v>
      </c>
    </row>
    <row r="58" spans="1:11" x14ac:dyDescent="0.25">
      <c r="A58">
        <v>898</v>
      </c>
      <c r="B58" t="s">
        <v>122</v>
      </c>
      <c r="C58" t="s">
        <v>9</v>
      </c>
      <c r="D58">
        <v>0.77160870999999998</v>
      </c>
      <c r="E58">
        <v>0</v>
      </c>
      <c r="G58">
        <v>898</v>
      </c>
      <c r="H58" t="s">
        <v>123</v>
      </c>
      <c r="I58">
        <v>-3.5840000000000001</v>
      </c>
      <c r="J58">
        <f t="shared" si="0"/>
        <v>0</v>
      </c>
      <c r="K58">
        <f t="shared" si="1"/>
        <v>1</v>
      </c>
    </row>
    <row r="59" spans="1:11" x14ac:dyDescent="0.25">
      <c r="A59">
        <v>900</v>
      </c>
      <c r="B59" t="s">
        <v>124</v>
      </c>
      <c r="C59" t="s">
        <v>9</v>
      </c>
      <c r="D59">
        <v>0.440515459</v>
      </c>
      <c r="E59">
        <v>0</v>
      </c>
      <c r="G59">
        <v>900</v>
      </c>
      <c r="H59" t="s">
        <v>125</v>
      </c>
      <c r="I59">
        <v>-1.8936999999999999</v>
      </c>
      <c r="J59">
        <f t="shared" si="0"/>
        <v>0</v>
      </c>
      <c r="K59">
        <f t="shared" si="1"/>
        <v>1</v>
      </c>
    </row>
    <row r="60" spans="1:11" x14ac:dyDescent="0.25">
      <c r="A60">
        <v>902</v>
      </c>
      <c r="B60" t="s">
        <v>126</v>
      </c>
      <c r="C60" t="s">
        <v>9</v>
      </c>
      <c r="D60">
        <v>0.70639395699999996</v>
      </c>
      <c r="E60">
        <v>0</v>
      </c>
      <c r="G60">
        <v>902</v>
      </c>
      <c r="H60" t="s">
        <v>127</v>
      </c>
      <c r="I60">
        <v>-2.7856999999999998</v>
      </c>
      <c r="J60">
        <f t="shared" si="0"/>
        <v>0</v>
      </c>
      <c r="K60">
        <f t="shared" si="1"/>
        <v>1</v>
      </c>
    </row>
    <row r="61" spans="1:11" x14ac:dyDescent="0.25">
      <c r="A61">
        <v>903</v>
      </c>
      <c r="B61" t="s">
        <v>128</v>
      </c>
      <c r="C61" t="s">
        <v>9</v>
      </c>
      <c r="D61">
        <v>0.56069946299999995</v>
      </c>
      <c r="E61">
        <v>0</v>
      </c>
      <c r="G61">
        <v>903</v>
      </c>
      <c r="H61" t="s">
        <v>129</v>
      </c>
      <c r="I61">
        <v>-1.7170000000000001</v>
      </c>
      <c r="J61">
        <f t="shared" si="0"/>
        <v>0</v>
      </c>
      <c r="K61">
        <f t="shared" si="1"/>
        <v>1</v>
      </c>
    </row>
    <row r="62" spans="1:11" x14ac:dyDescent="0.25">
      <c r="A62">
        <v>904</v>
      </c>
      <c r="B62" t="s">
        <v>130</v>
      </c>
      <c r="C62" t="s">
        <v>9</v>
      </c>
      <c r="D62">
        <v>0.36598584099999998</v>
      </c>
      <c r="E62">
        <v>0</v>
      </c>
      <c r="G62">
        <v>904</v>
      </c>
      <c r="H62" t="s">
        <v>131</v>
      </c>
      <c r="I62">
        <v>-3.1560000000000001</v>
      </c>
      <c r="J62">
        <f t="shared" si="0"/>
        <v>0</v>
      </c>
      <c r="K62">
        <f t="shared" si="1"/>
        <v>1</v>
      </c>
    </row>
    <row r="63" spans="1:11" x14ac:dyDescent="0.25">
      <c r="A63">
        <v>906</v>
      </c>
      <c r="B63" t="s">
        <v>132</v>
      </c>
      <c r="C63" t="s">
        <v>9</v>
      </c>
      <c r="D63">
        <v>0.53806424100000005</v>
      </c>
      <c r="E63">
        <v>0</v>
      </c>
      <c r="G63">
        <v>906</v>
      </c>
      <c r="H63" t="s">
        <v>133</v>
      </c>
      <c r="I63">
        <v>-2.4853999999999998</v>
      </c>
      <c r="J63">
        <f t="shared" si="0"/>
        <v>0</v>
      </c>
      <c r="K63">
        <f t="shared" si="1"/>
        <v>1</v>
      </c>
    </row>
    <row r="64" spans="1:11" x14ac:dyDescent="0.25">
      <c r="A64">
        <v>928</v>
      </c>
      <c r="B64" t="s">
        <v>134</v>
      </c>
      <c r="C64" t="s">
        <v>9</v>
      </c>
      <c r="D64">
        <v>0.51374447300000003</v>
      </c>
      <c r="E64">
        <v>0</v>
      </c>
      <c r="G64">
        <v>928</v>
      </c>
      <c r="H64" t="s">
        <v>135</v>
      </c>
      <c r="I64">
        <v>-4.0907</v>
      </c>
      <c r="J64">
        <f t="shared" si="0"/>
        <v>0</v>
      </c>
      <c r="K64">
        <f t="shared" si="1"/>
        <v>1</v>
      </c>
    </row>
    <row r="65" spans="1:11" x14ac:dyDescent="0.25">
      <c r="A65">
        <v>930</v>
      </c>
      <c r="B65" t="s">
        <v>136</v>
      </c>
      <c r="C65" t="s">
        <v>9</v>
      </c>
      <c r="D65">
        <v>0.57289957999999996</v>
      </c>
      <c r="E65">
        <v>0</v>
      </c>
      <c r="G65">
        <v>930</v>
      </c>
      <c r="H65" t="s">
        <v>137</v>
      </c>
      <c r="I65">
        <v>-2.9761000000000002</v>
      </c>
      <c r="J65">
        <f t="shared" si="0"/>
        <v>0</v>
      </c>
      <c r="K65">
        <f t="shared" si="1"/>
        <v>1</v>
      </c>
    </row>
    <row r="66" spans="1:11" x14ac:dyDescent="0.25">
      <c r="A66">
        <v>933</v>
      </c>
      <c r="B66" t="s">
        <v>138</v>
      </c>
      <c r="C66" t="s">
        <v>9</v>
      </c>
      <c r="D66">
        <v>0.44472700399999998</v>
      </c>
      <c r="E66">
        <v>0</v>
      </c>
      <c r="G66">
        <v>933</v>
      </c>
      <c r="H66" t="s">
        <v>139</v>
      </c>
      <c r="I66">
        <v>-1.0784</v>
      </c>
      <c r="J66">
        <f t="shared" si="0"/>
        <v>0</v>
      </c>
      <c r="K66">
        <f t="shared" si="1"/>
        <v>1</v>
      </c>
    </row>
    <row r="67" spans="1:11" x14ac:dyDescent="0.25">
      <c r="A67">
        <v>937</v>
      </c>
      <c r="B67" t="s">
        <v>140</v>
      </c>
      <c r="C67" t="s">
        <v>9</v>
      </c>
      <c r="D67">
        <v>0.63394761099999997</v>
      </c>
      <c r="E67">
        <v>0</v>
      </c>
      <c r="G67">
        <v>937</v>
      </c>
      <c r="H67" t="s">
        <v>141</v>
      </c>
      <c r="I67">
        <v>1.0310999999999999</v>
      </c>
      <c r="J67">
        <f t="shared" ref="J67:J103" si="2">IF(I67&gt;0,1,0)</f>
        <v>1</v>
      </c>
      <c r="K67">
        <f t="shared" ref="K67:K103" si="3">IF(E67=J67,1,0)</f>
        <v>0</v>
      </c>
    </row>
    <row r="68" spans="1:11" x14ac:dyDescent="0.25">
      <c r="A68">
        <v>946</v>
      </c>
      <c r="B68" t="s">
        <v>142</v>
      </c>
      <c r="C68" t="s">
        <v>15</v>
      </c>
      <c r="D68">
        <v>0.26243218800000001</v>
      </c>
      <c r="E68">
        <v>0</v>
      </c>
      <c r="G68">
        <v>946</v>
      </c>
      <c r="H68" t="s">
        <v>143</v>
      </c>
      <c r="I68">
        <v>-0.87544</v>
      </c>
      <c r="J68">
        <f t="shared" si="2"/>
        <v>0</v>
      </c>
      <c r="K68">
        <f t="shared" si="3"/>
        <v>1</v>
      </c>
    </row>
    <row r="69" spans="1:11" x14ac:dyDescent="0.25">
      <c r="A69">
        <v>949</v>
      </c>
      <c r="B69" t="s">
        <v>144</v>
      </c>
      <c r="C69" t="s">
        <v>9</v>
      </c>
      <c r="D69">
        <v>0.64530611000000004</v>
      </c>
      <c r="E69">
        <v>0</v>
      </c>
      <c r="G69">
        <v>949</v>
      </c>
      <c r="H69" t="s">
        <v>145</v>
      </c>
      <c r="I69">
        <v>-2.7029999999999998</v>
      </c>
      <c r="J69">
        <f t="shared" si="2"/>
        <v>0</v>
      </c>
      <c r="K69">
        <f t="shared" si="3"/>
        <v>1</v>
      </c>
    </row>
    <row r="70" spans="1:11" x14ac:dyDescent="0.25">
      <c r="A70">
        <v>951</v>
      </c>
      <c r="B70" t="s">
        <v>146</v>
      </c>
      <c r="C70" t="s">
        <v>9</v>
      </c>
      <c r="D70">
        <v>0.67518830299999999</v>
      </c>
      <c r="E70">
        <v>0</v>
      </c>
      <c r="G70">
        <v>951</v>
      </c>
      <c r="H70" t="s">
        <v>147</v>
      </c>
      <c r="I70">
        <v>-2.4853999999999998</v>
      </c>
      <c r="J70">
        <f t="shared" si="2"/>
        <v>0</v>
      </c>
      <c r="K70">
        <f t="shared" si="3"/>
        <v>1</v>
      </c>
    </row>
    <row r="71" spans="1:11" x14ac:dyDescent="0.25">
      <c r="A71">
        <v>952</v>
      </c>
      <c r="B71" t="s">
        <v>148</v>
      </c>
      <c r="C71" t="s">
        <v>9</v>
      </c>
      <c r="D71">
        <v>0.431382716</v>
      </c>
      <c r="E71">
        <v>0</v>
      </c>
      <c r="G71">
        <v>952</v>
      </c>
      <c r="H71" t="s">
        <v>149</v>
      </c>
      <c r="I71">
        <v>-0.58621000000000001</v>
      </c>
      <c r="J71">
        <f t="shared" si="2"/>
        <v>0</v>
      </c>
      <c r="K71">
        <f t="shared" si="3"/>
        <v>1</v>
      </c>
    </row>
    <row r="72" spans="1:11" x14ac:dyDescent="0.25">
      <c r="A72">
        <v>953</v>
      </c>
      <c r="B72" t="s">
        <v>150</v>
      </c>
      <c r="C72" t="s">
        <v>9</v>
      </c>
      <c r="D72">
        <v>0.37579879199999999</v>
      </c>
      <c r="E72">
        <v>0</v>
      </c>
      <c r="G72">
        <v>953</v>
      </c>
      <c r="H72" t="s">
        <v>151</v>
      </c>
      <c r="I72">
        <v>-3.9498000000000002</v>
      </c>
      <c r="J72">
        <f t="shared" si="2"/>
        <v>0</v>
      </c>
      <c r="K72">
        <f t="shared" si="3"/>
        <v>1</v>
      </c>
    </row>
    <row r="73" spans="1:11" x14ac:dyDescent="0.25">
      <c r="A73">
        <v>954</v>
      </c>
      <c r="B73" t="s">
        <v>152</v>
      </c>
      <c r="C73" t="s">
        <v>9</v>
      </c>
      <c r="D73">
        <v>0.57864785200000002</v>
      </c>
      <c r="E73">
        <v>1</v>
      </c>
      <c r="G73">
        <v>954</v>
      </c>
      <c r="H73" t="s">
        <v>153</v>
      </c>
      <c r="I73">
        <v>0.90578000000000003</v>
      </c>
      <c r="J73">
        <f t="shared" si="2"/>
        <v>1</v>
      </c>
      <c r="K73">
        <f t="shared" si="3"/>
        <v>1</v>
      </c>
    </row>
    <row r="74" spans="1:11" x14ac:dyDescent="0.25">
      <c r="A74">
        <v>955</v>
      </c>
      <c r="B74" t="s">
        <v>154</v>
      </c>
      <c r="C74" t="s">
        <v>9</v>
      </c>
      <c r="D74">
        <v>0.65180623500000001</v>
      </c>
      <c r="E74">
        <v>0</v>
      </c>
      <c r="G74">
        <v>955</v>
      </c>
      <c r="H74" t="s">
        <v>155</v>
      </c>
      <c r="I74">
        <v>-4.0689000000000002</v>
      </c>
      <c r="J74">
        <f t="shared" si="2"/>
        <v>0</v>
      </c>
      <c r="K74">
        <f t="shared" si="3"/>
        <v>1</v>
      </c>
    </row>
    <row r="75" spans="1:11" x14ac:dyDescent="0.25">
      <c r="A75">
        <v>956</v>
      </c>
      <c r="B75" t="s">
        <v>156</v>
      </c>
      <c r="C75" t="s">
        <v>9</v>
      </c>
      <c r="D75">
        <v>0.409359902</v>
      </c>
      <c r="E75">
        <v>0</v>
      </c>
      <c r="G75">
        <v>956</v>
      </c>
      <c r="H75" t="s">
        <v>157</v>
      </c>
      <c r="I75">
        <v>-2.4464999999999999</v>
      </c>
      <c r="J75">
        <f t="shared" si="2"/>
        <v>0</v>
      </c>
      <c r="K75">
        <f t="shared" si="3"/>
        <v>1</v>
      </c>
    </row>
    <row r="76" spans="1:11" x14ac:dyDescent="0.25">
      <c r="A76">
        <v>958</v>
      </c>
      <c r="B76" t="s">
        <v>158</v>
      </c>
      <c r="C76" t="s">
        <v>9</v>
      </c>
      <c r="D76">
        <v>0.36029982599999999</v>
      </c>
      <c r="E76">
        <v>0</v>
      </c>
      <c r="G76">
        <v>958</v>
      </c>
      <c r="H76" t="s">
        <v>159</v>
      </c>
      <c r="I76">
        <v>-3.5451000000000001</v>
      </c>
      <c r="J76">
        <f t="shared" si="2"/>
        <v>0</v>
      </c>
      <c r="K76">
        <f t="shared" si="3"/>
        <v>1</v>
      </c>
    </row>
    <row r="77" spans="1:11" x14ac:dyDescent="0.25">
      <c r="A77">
        <v>959</v>
      </c>
      <c r="B77" t="s">
        <v>160</v>
      </c>
      <c r="C77" t="s">
        <v>9</v>
      </c>
      <c r="D77">
        <v>0.64991563600000002</v>
      </c>
      <c r="E77">
        <v>0</v>
      </c>
      <c r="G77">
        <v>959</v>
      </c>
      <c r="H77" t="s">
        <v>161</v>
      </c>
      <c r="I77">
        <v>-2.0573999999999999</v>
      </c>
      <c r="J77">
        <f t="shared" si="2"/>
        <v>0</v>
      </c>
      <c r="K77">
        <f t="shared" si="3"/>
        <v>1</v>
      </c>
    </row>
    <row r="78" spans="1:11" x14ac:dyDescent="0.25">
      <c r="A78">
        <v>960</v>
      </c>
      <c r="B78" t="s">
        <v>162</v>
      </c>
      <c r="C78" t="s">
        <v>9</v>
      </c>
      <c r="D78">
        <v>0.422658056</v>
      </c>
      <c r="E78">
        <v>0</v>
      </c>
      <c r="G78">
        <v>960</v>
      </c>
      <c r="H78" t="s">
        <v>163</v>
      </c>
      <c r="I78">
        <v>-0.61456</v>
      </c>
      <c r="J78">
        <f t="shared" si="2"/>
        <v>0</v>
      </c>
      <c r="K78">
        <f t="shared" si="3"/>
        <v>1</v>
      </c>
    </row>
    <row r="79" spans="1:11" x14ac:dyDescent="0.25">
      <c r="A79">
        <v>969</v>
      </c>
      <c r="B79" t="s">
        <v>164</v>
      </c>
      <c r="C79" t="s">
        <v>12</v>
      </c>
      <c r="D79">
        <v>0.193813771</v>
      </c>
      <c r="E79">
        <v>1</v>
      </c>
      <c r="G79">
        <v>969</v>
      </c>
      <c r="H79" t="s">
        <v>165</v>
      </c>
      <c r="I79">
        <v>1.0568</v>
      </c>
      <c r="J79">
        <f t="shared" si="2"/>
        <v>1</v>
      </c>
      <c r="K79">
        <f t="shared" si="3"/>
        <v>1</v>
      </c>
    </row>
    <row r="80" spans="1:11" x14ac:dyDescent="0.25">
      <c r="A80">
        <v>971</v>
      </c>
      <c r="B80" t="s">
        <v>166</v>
      </c>
      <c r="C80" t="s">
        <v>9</v>
      </c>
      <c r="D80">
        <v>0.57330703699999996</v>
      </c>
      <c r="E80">
        <v>0</v>
      </c>
      <c r="G80">
        <v>971</v>
      </c>
      <c r="H80" t="s">
        <v>167</v>
      </c>
      <c r="I80">
        <v>-6.6657999999999999</v>
      </c>
      <c r="J80">
        <f t="shared" si="2"/>
        <v>0</v>
      </c>
      <c r="K80">
        <f t="shared" si="3"/>
        <v>1</v>
      </c>
    </row>
    <row r="81" spans="1:11" x14ac:dyDescent="0.25">
      <c r="A81">
        <v>985</v>
      </c>
      <c r="B81" t="s">
        <v>168</v>
      </c>
      <c r="C81" t="s">
        <v>12</v>
      </c>
      <c r="D81">
        <v>0.15254986300000001</v>
      </c>
      <c r="E81">
        <v>0</v>
      </c>
      <c r="G81">
        <v>985</v>
      </c>
      <c r="H81" t="s">
        <v>169</v>
      </c>
      <c r="I81">
        <v>-1.8360000000000001</v>
      </c>
      <c r="J81">
        <f t="shared" si="2"/>
        <v>0</v>
      </c>
      <c r="K81">
        <f t="shared" si="3"/>
        <v>1</v>
      </c>
    </row>
    <row r="82" spans="1:11" x14ac:dyDescent="0.25">
      <c r="A82">
        <v>1000</v>
      </c>
      <c r="B82" t="s">
        <v>170</v>
      </c>
      <c r="C82" t="s">
        <v>9</v>
      </c>
      <c r="D82">
        <v>0.71852081999999995</v>
      </c>
      <c r="E82">
        <v>0</v>
      </c>
      <c r="G82">
        <v>1000</v>
      </c>
      <c r="H82" t="s">
        <v>171</v>
      </c>
      <c r="I82">
        <v>-5.0563000000000002</v>
      </c>
      <c r="J82">
        <f t="shared" si="2"/>
        <v>0</v>
      </c>
      <c r="K82">
        <f t="shared" si="3"/>
        <v>1</v>
      </c>
    </row>
    <row r="83" spans="1:11" x14ac:dyDescent="0.25">
      <c r="A83">
        <v>1005</v>
      </c>
      <c r="B83" t="s">
        <v>172</v>
      </c>
      <c r="C83" t="s">
        <v>9</v>
      </c>
      <c r="D83">
        <v>0.50240051699999999</v>
      </c>
      <c r="E83">
        <v>0</v>
      </c>
      <c r="G83">
        <v>1005</v>
      </c>
      <c r="H83" t="s">
        <v>173</v>
      </c>
      <c r="I83">
        <v>-3.1655000000000002</v>
      </c>
      <c r="J83">
        <f t="shared" si="2"/>
        <v>0</v>
      </c>
      <c r="K83">
        <f t="shared" si="3"/>
        <v>1</v>
      </c>
    </row>
    <row r="84" spans="1:11" x14ac:dyDescent="0.25">
      <c r="A84">
        <v>1019</v>
      </c>
      <c r="B84" t="s">
        <v>174</v>
      </c>
      <c r="C84" t="s">
        <v>9</v>
      </c>
      <c r="D84">
        <v>0.73856651799999995</v>
      </c>
      <c r="E84">
        <v>0</v>
      </c>
      <c r="G84">
        <v>1019</v>
      </c>
      <c r="H84" t="s">
        <v>175</v>
      </c>
      <c r="I84">
        <v>-2.3664999999999998</v>
      </c>
      <c r="J84">
        <f t="shared" si="2"/>
        <v>0</v>
      </c>
      <c r="K84">
        <f t="shared" si="3"/>
        <v>1</v>
      </c>
    </row>
    <row r="85" spans="1:11" x14ac:dyDescent="0.25">
      <c r="A85">
        <v>1021</v>
      </c>
      <c r="B85" t="s">
        <v>176</v>
      </c>
      <c r="C85" t="s">
        <v>9</v>
      </c>
      <c r="D85">
        <v>0.62650048700000005</v>
      </c>
      <c r="E85">
        <v>0</v>
      </c>
      <c r="G85">
        <v>1021</v>
      </c>
      <c r="H85" t="s">
        <v>177</v>
      </c>
      <c r="I85">
        <v>-1.8244</v>
      </c>
      <c r="J85">
        <f t="shared" si="2"/>
        <v>0</v>
      </c>
      <c r="K85">
        <f t="shared" si="3"/>
        <v>1</v>
      </c>
    </row>
    <row r="86" spans="1:11" x14ac:dyDescent="0.25">
      <c r="A86">
        <v>1030</v>
      </c>
      <c r="B86" t="s">
        <v>178</v>
      </c>
      <c r="C86" t="s">
        <v>15</v>
      </c>
      <c r="D86">
        <v>0.26207894100000001</v>
      </c>
      <c r="E86">
        <v>0</v>
      </c>
      <c r="G86">
        <v>1030</v>
      </c>
      <c r="H86" t="s">
        <v>179</v>
      </c>
      <c r="I86">
        <v>-2.4853999999999998</v>
      </c>
      <c r="J86">
        <f t="shared" si="2"/>
        <v>0</v>
      </c>
      <c r="K86">
        <f t="shared" si="3"/>
        <v>1</v>
      </c>
    </row>
    <row r="87" spans="1:11" x14ac:dyDescent="0.25">
      <c r="A87">
        <v>1042</v>
      </c>
      <c r="B87" t="s">
        <v>180</v>
      </c>
      <c r="C87" t="s">
        <v>9</v>
      </c>
      <c r="D87">
        <v>0.52753156400000001</v>
      </c>
      <c r="E87">
        <v>0</v>
      </c>
      <c r="G87">
        <v>1042</v>
      </c>
      <c r="H87" t="s">
        <v>181</v>
      </c>
      <c r="I87">
        <v>-1.9093</v>
      </c>
      <c r="J87">
        <f t="shared" si="2"/>
        <v>0</v>
      </c>
      <c r="K87">
        <f t="shared" si="3"/>
        <v>1</v>
      </c>
    </row>
    <row r="88" spans="1:11" x14ac:dyDescent="0.25">
      <c r="A88">
        <v>1044</v>
      </c>
      <c r="B88" t="s">
        <v>182</v>
      </c>
      <c r="C88" t="s">
        <v>9</v>
      </c>
      <c r="D88">
        <v>0.659417272</v>
      </c>
      <c r="E88">
        <v>0</v>
      </c>
      <c r="G88">
        <v>1044</v>
      </c>
      <c r="H88" t="s">
        <v>183</v>
      </c>
      <c r="I88">
        <v>-4.0109000000000004</v>
      </c>
      <c r="J88">
        <f t="shared" si="2"/>
        <v>0</v>
      </c>
      <c r="K88">
        <f t="shared" si="3"/>
        <v>1</v>
      </c>
    </row>
    <row r="89" spans="1:11" x14ac:dyDescent="0.25">
      <c r="A89">
        <v>1057</v>
      </c>
      <c r="B89" t="s">
        <v>184</v>
      </c>
      <c r="C89" t="s">
        <v>9</v>
      </c>
      <c r="D89">
        <v>0.74912011599999995</v>
      </c>
      <c r="E89">
        <v>0</v>
      </c>
      <c r="G89">
        <v>1057</v>
      </c>
      <c r="H89" t="s">
        <v>185</v>
      </c>
      <c r="I89">
        <v>-4.5854999999999997</v>
      </c>
      <c r="J89">
        <f t="shared" si="2"/>
        <v>0</v>
      </c>
      <c r="K89">
        <f t="shared" si="3"/>
        <v>1</v>
      </c>
    </row>
    <row r="90" spans="1:11" x14ac:dyDescent="0.25">
      <c r="A90">
        <v>1068</v>
      </c>
      <c r="B90" t="s">
        <v>186</v>
      </c>
      <c r="C90" t="s">
        <v>9</v>
      </c>
      <c r="D90">
        <v>0.605368197</v>
      </c>
      <c r="E90">
        <v>0</v>
      </c>
      <c r="G90">
        <v>1068</v>
      </c>
      <c r="H90" t="s">
        <v>187</v>
      </c>
      <c r="I90">
        <v>-1.2101</v>
      </c>
      <c r="J90">
        <f t="shared" si="2"/>
        <v>0</v>
      </c>
      <c r="K90">
        <f t="shared" si="3"/>
        <v>1</v>
      </c>
    </row>
    <row r="91" spans="1:11" x14ac:dyDescent="0.25">
      <c r="A91">
        <v>1077</v>
      </c>
      <c r="B91" t="s">
        <v>188</v>
      </c>
      <c r="C91" t="s">
        <v>9</v>
      </c>
      <c r="D91">
        <v>0.56475180400000002</v>
      </c>
      <c r="E91">
        <v>0</v>
      </c>
      <c r="G91">
        <v>1077</v>
      </c>
      <c r="H91" t="s">
        <v>189</v>
      </c>
      <c r="I91">
        <v>-2.306</v>
      </c>
      <c r="J91">
        <f t="shared" si="2"/>
        <v>0</v>
      </c>
      <c r="K91">
        <f t="shared" si="3"/>
        <v>1</v>
      </c>
    </row>
    <row r="92" spans="1:11" x14ac:dyDescent="0.25">
      <c r="A92">
        <v>1080</v>
      </c>
      <c r="B92" t="s">
        <v>190</v>
      </c>
      <c r="C92" t="s">
        <v>9</v>
      </c>
      <c r="D92">
        <v>0.58266848299999996</v>
      </c>
      <c r="E92">
        <v>0</v>
      </c>
      <c r="G92">
        <v>1080</v>
      </c>
      <c r="H92" t="s">
        <v>191</v>
      </c>
      <c r="I92">
        <v>-3.8365999999999998</v>
      </c>
      <c r="J92">
        <f t="shared" si="2"/>
        <v>0</v>
      </c>
      <c r="K92">
        <f t="shared" si="3"/>
        <v>1</v>
      </c>
    </row>
    <row r="93" spans="1:11" x14ac:dyDescent="0.25">
      <c r="A93">
        <v>1090</v>
      </c>
      <c r="B93" t="s">
        <v>192</v>
      </c>
      <c r="C93" t="s">
        <v>9</v>
      </c>
      <c r="D93">
        <v>0.79418546000000001</v>
      </c>
      <c r="E93">
        <v>0</v>
      </c>
      <c r="G93">
        <v>1090</v>
      </c>
      <c r="H93" t="s">
        <v>193</v>
      </c>
      <c r="I93">
        <v>-3.2332000000000001</v>
      </c>
      <c r="J93">
        <f t="shared" si="2"/>
        <v>0</v>
      </c>
      <c r="K93">
        <f t="shared" si="3"/>
        <v>1</v>
      </c>
    </row>
    <row r="94" spans="1:11" x14ac:dyDescent="0.25">
      <c r="A94">
        <v>1100</v>
      </c>
      <c r="B94" t="s">
        <v>194</v>
      </c>
      <c r="C94" t="s">
        <v>12</v>
      </c>
      <c r="D94">
        <v>0.13576343699999999</v>
      </c>
      <c r="E94">
        <v>0</v>
      </c>
      <c r="G94">
        <v>1100</v>
      </c>
      <c r="H94" t="s">
        <v>195</v>
      </c>
      <c r="I94">
        <v>-1.9357</v>
      </c>
      <c r="J94">
        <f t="shared" si="2"/>
        <v>0</v>
      </c>
      <c r="K94">
        <f t="shared" si="3"/>
        <v>1</v>
      </c>
    </row>
    <row r="95" spans="1:11" x14ac:dyDescent="0.25">
      <c r="A95">
        <v>1102</v>
      </c>
      <c r="B95" t="s">
        <v>196</v>
      </c>
      <c r="C95" t="s">
        <v>9</v>
      </c>
      <c r="D95">
        <v>0.74613654600000001</v>
      </c>
      <c r="E95">
        <v>0</v>
      </c>
      <c r="G95">
        <v>1102</v>
      </c>
      <c r="H95" t="s">
        <v>197</v>
      </c>
      <c r="I95">
        <v>-2.0680000000000001</v>
      </c>
      <c r="J95">
        <f t="shared" si="2"/>
        <v>0</v>
      </c>
      <c r="K95">
        <f t="shared" si="3"/>
        <v>1</v>
      </c>
    </row>
    <row r="96" spans="1:11" x14ac:dyDescent="0.25">
      <c r="A96">
        <v>1103</v>
      </c>
      <c r="B96" t="s">
        <v>198</v>
      </c>
      <c r="C96" t="s">
        <v>9</v>
      </c>
      <c r="D96">
        <v>0.49782559300000001</v>
      </c>
      <c r="E96">
        <v>0</v>
      </c>
      <c r="G96">
        <v>1103</v>
      </c>
      <c r="H96" t="s">
        <v>199</v>
      </c>
      <c r="I96">
        <v>-0.22961000000000001</v>
      </c>
      <c r="J96">
        <f t="shared" si="2"/>
        <v>0</v>
      </c>
      <c r="K96">
        <f t="shared" si="3"/>
        <v>1</v>
      </c>
    </row>
    <row r="97" spans="1:11" x14ac:dyDescent="0.25">
      <c r="A97">
        <v>1104</v>
      </c>
      <c r="B97" t="s">
        <v>200</v>
      </c>
      <c r="C97" t="s">
        <v>9</v>
      </c>
      <c r="D97">
        <v>0.59301078299999999</v>
      </c>
      <c r="E97">
        <v>0</v>
      </c>
      <c r="G97">
        <v>1104</v>
      </c>
      <c r="H97" t="s">
        <v>201</v>
      </c>
      <c r="I97">
        <v>-3.5840000000000001</v>
      </c>
      <c r="J97">
        <f t="shared" si="2"/>
        <v>0</v>
      </c>
      <c r="K97">
        <f t="shared" si="3"/>
        <v>1</v>
      </c>
    </row>
    <row r="98" spans="1:11" x14ac:dyDescent="0.25">
      <c r="A98">
        <v>1105</v>
      </c>
      <c r="B98" t="s">
        <v>202</v>
      </c>
      <c r="C98" t="s">
        <v>9</v>
      </c>
      <c r="D98">
        <v>0.86466813099999995</v>
      </c>
      <c r="E98">
        <v>0</v>
      </c>
      <c r="G98">
        <v>1105</v>
      </c>
      <c r="H98" t="s">
        <v>203</v>
      </c>
      <c r="I98">
        <v>-3.5451000000000001</v>
      </c>
      <c r="J98">
        <f t="shared" si="2"/>
        <v>0</v>
      </c>
      <c r="K98">
        <f t="shared" si="3"/>
        <v>1</v>
      </c>
    </row>
    <row r="99" spans="1:11" x14ac:dyDescent="0.25">
      <c r="A99">
        <v>1142</v>
      </c>
      <c r="B99" t="s">
        <v>204</v>
      </c>
      <c r="C99" t="s">
        <v>12</v>
      </c>
      <c r="D99">
        <v>0.17360036100000001</v>
      </c>
      <c r="E99">
        <v>1</v>
      </c>
      <c r="G99">
        <v>1142</v>
      </c>
      <c r="H99" t="s">
        <v>205</v>
      </c>
      <c r="I99">
        <v>0.51615</v>
      </c>
      <c r="J99">
        <f t="shared" si="2"/>
        <v>1</v>
      </c>
      <c r="K99">
        <f t="shared" si="3"/>
        <v>1</v>
      </c>
    </row>
    <row r="100" spans="1:11" x14ac:dyDescent="0.25">
      <c r="A100">
        <v>1143</v>
      </c>
      <c r="B100" t="s">
        <v>206</v>
      </c>
      <c r="C100" t="s">
        <v>12</v>
      </c>
      <c r="D100">
        <v>0.115987875</v>
      </c>
      <c r="E100">
        <v>1</v>
      </c>
      <c r="G100">
        <v>1143</v>
      </c>
      <c r="H100" t="s">
        <v>207</v>
      </c>
      <c r="I100">
        <v>5.9486999999999998E-2</v>
      </c>
      <c r="J100">
        <f t="shared" si="2"/>
        <v>1</v>
      </c>
      <c r="K100">
        <f t="shared" si="3"/>
        <v>1</v>
      </c>
    </row>
    <row r="101" spans="1:11" x14ac:dyDescent="0.25">
      <c r="A101">
        <v>1161</v>
      </c>
      <c r="B101" t="s">
        <v>208</v>
      </c>
      <c r="C101" t="s">
        <v>12</v>
      </c>
      <c r="D101">
        <v>8.0745146000000004E-2</v>
      </c>
      <c r="E101">
        <v>1</v>
      </c>
      <c r="G101">
        <v>1161</v>
      </c>
      <c r="H101" t="s">
        <v>209</v>
      </c>
      <c r="I101">
        <v>6.2872999999999998E-2</v>
      </c>
      <c r="J101">
        <f t="shared" si="2"/>
        <v>1</v>
      </c>
      <c r="K101">
        <f t="shared" si="3"/>
        <v>1</v>
      </c>
    </row>
    <row r="102" spans="1:11" x14ac:dyDescent="0.25">
      <c r="A102">
        <v>1200</v>
      </c>
      <c r="B102" t="s">
        <v>210</v>
      </c>
      <c r="C102" t="s">
        <v>12</v>
      </c>
      <c r="D102">
        <v>0.134627372</v>
      </c>
      <c r="E102">
        <v>0</v>
      </c>
      <c r="G102">
        <v>1200</v>
      </c>
      <c r="H102" t="s">
        <v>211</v>
      </c>
      <c r="I102">
        <v>-2.7092000000000001</v>
      </c>
      <c r="J102">
        <f t="shared" si="2"/>
        <v>0</v>
      </c>
      <c r="K102">
        <f t="shared" si="3"/>
        <v>1</v>
      </c>
    </row>
    <row r="103" spans="1:11" x14ac:dyDescent="0.25">
      <c r="A103">
        <v>1227</v>
      </c>
      <c r="B103" t="s">
        <v>212</v>
      </c>
      <c r="C103" t="s">
        <v>15</v>
      </c>
      <c r="D103">
        <v>0.26530441599999999</v>
      </c>
      <c r="E103">
        <v>0</v>
      </c>
      <c r="G103">
        <v>1227</v>
      </c>
      <c r="H103" t="s">
        <v>213</v>
      </c>
      <c r="I103">
        <v>-3.1560000000000001</v>
      </c>
      <c r="J103">
        <f t="shared" si="2"/>
        <v>0</v>
      </c>
      <c r="K103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AlphaRING_with_annotations</vt:lpstr>
      <vt:lpstr>Fitness_estimates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Bellos, Evangelos</dc:creator>
  <cp:lastModifiedBy>Nathaniel Lee-Blues</cp:lastModifiedBy>
  <dcterms:created xsi:type="dcterms:W3CDTF">2025-08-13T14:05:57Z</dcterms:created>
  <dcterms:modified xsi:type="dcterms:W3CDTF">2025-08-22T16:30:42Z</dcterms:modified>
</cp:coreProperties>
</file>